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8001_{61638318-F988-478B-A31F-980BDD0FB3EA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SPU KIMIA" sheetId="4" r:id="rId1"/>
    <sheet name="Massa Molar" sheetId="5" r:id="rId2"/>
    <sheet name="Bobot Ekuivalen" sheetId="6" r:id="rId3"/>
    <sheet name="FORMAT STANDARDISASI" sheetId="2" r:id="rId4"/>
    <sheet name="FORMAT STANDARDISASI&amp;KADAR" sheetId="3" r:id="rId5"/>
    <sheet name="FORMAT PENETAPAN KADAR" sheetId="1" r:id="rId6"/>
    <sheet name="Curve Titration" sheetId="7" r:id="rId7"/>
  </sheets>
  <externalReferences>
    <externalReference r:id="rId8"/>
  </externalReferences>
  <definedNames>
    <definedName name="_xlnm.Print_Area" localSheetId="2">'Bobot Ekuivalen'!$A$1:$M$22</definedName>
    <definedName name="_xlnm.Print_Area" localSheetId="4">'FORMAT STANDARDISASI&amp;KADAR'!$A$1:$P$50</definedName>
    <definedName name="_xlnm.Print_Area" localSheetId="1">'Massa Molar'!$A$1:$K$22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7" l="1"/>
  <c r="E32" i="7"/>
  <c r="E33" i="7"/>
  <c r="E34" i="7"/>
  <c r="E35" i="7"/>
  <c r="E36" i="7"/>
  <c r="E37" i="7"/>
  <c r="E38" i="7"/>
  <c r="E39" i="7"/>
  <c r="E40" i="7"/>
  <c r="E41" i="7"/>
  <c r="E42" i="7"/>
  <c r="I11" i="7"/>
  <c r="D23" i="7"/>
  <c r="D24" i="7" s="1"/>
  <c r="D25" i="7" s="1"/>
  <c r="E22" i="7"/>
  <c r="I13" i="7"/>
  <c r="G22" i="7" s="1"/>
  <c r="G24" i="7" s="1"/>
  <c r="I15" i="7"/>
  <c r="I17" i="7"/>
  <c r="H24" i="7" l="1"/>
  <c r="G25" i="7"/>
  <c r="H22" i="7"/>
  <c r="E25" i="7"/>
  <c r="D26" i="7"/>
  <c r="D27" i="7" s="1"/>
  <c r="D28" i="7" s="1"/>
  <c r="D29" i="7" s="1"/>
  <c r="D30" i="7" s="1"/>
  <c r="D31" i="7" s="1"/>
  <c r="E23" i="7"/>
  <c r="E26" i="7"/>
  <c r="E27" i="7"/>
  <c r="E24" i="7"/>
  <c r="F7" i="6"/>
  <c r="G7" i="6" s="1"/>
  <c r="F10" i="6"/>
  <c r="G10" i="6" s="1"/>
  <c r="F20" i="6"/>
  <c r="G20" i="6" s="1"/>
  <c r="F19" i="6"/>
  <c r="G19" i="6" s="1"/>
  <c r="I16" i="6"/>
  <c r="F18" i="6"/>
  <c r="G18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9" i="6"/>
  <c r="G9" i="6" s="1"/>
  <c r="F8" i="6"/>
  <c r="G8" i="6" s="1"/>
  <c r="F20" i="5"/>
  <c r="G20" i="5" s="1"/>
  <c r="F19" i="5"/>
  <c r="G19" i="5" s="1"/>
  <c r="J16" i="5"/>
  <c r="F18" i="5"/>
  <c r="G18" i="5" s="1"/>
  <c r="F17" i="5"/>
  <c r="G17" i="5" s="1"/>
  <c r="F16" i="5"/>
  <c r="G16" i="5" s="1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F9" i="5"/>
  <c r="G9" i="5" s="1"/>
  <c r="G8" i="5"/>
  <c r="F8" i="5"/>
  <c r="F7" i="5"/>
  <c r="G7" i="5" s="1"/>
  <c r="F36" i="3"/>
  <c r="E21" i="1"/>
  <c r="M124" i="4"/>
  <c r="L124" i="4"/>
  <c r="K124" i="4"/>
  <c r="M123" i="4"/>
  <c r="L123" i="4"/>
  <c r="K123" i="4"/>
  <c r="M122" i="4"/>
  <c r="L122" i="4"/>
  <c r="K122" i="4"/>
  <c r="M121" i="4"/>
  <c r="L121" i="4"/>
  <c r="K121" i="4"/>
  <c r="M120" i="4"/>
  <c r="L120" i="4"/>
  <c r="K120" i="4"/>
  <c r="M119" i="4"/>
  <c r="L119" i="4"/>
  <c r="K119" i="4"/>
  <c r="M118" i="4"/>
  <c r="L118" i="4"/>
  <c r="K118" i="4"/>
  <c r="M117" i="4"/>
  <c r="L117" i="4"/>
  <c r="K117" i="4"/>
  <c r="M116" i="4"/>
  <c r="L116" i="4"/>
  <c r="K116" i="4"/>
  <c r="M115" i="4"/>
  <c r="L115" i="4"/>
  <c r="K115" i="4"/>
  <c r="M114" i="4"/>
  <c r="L114" i="4"/>
  <c r="K114" i="4"/>
  <c r="M113" i="4"/>
  <c r="L113" i="4"/>
  <c r="K113" i="4"/>
  <c r="M112" i="4"/>
  <c r="L112" i="4"/>
  <c r="K112" i="4"/>
  <c r="M111" i="4"/>
  <c r="L111" i="4"/>
  <c r="K111" i="4"/>
  <c r="M110" i="4"/>
  <c r="L110" i="4"/>
  <c r="K110" i="4"/>
  <c r="M109" i="4"/>
  <c r="L109" i="4"/>
  <c r="K109" i="4"/>
  <c r="M108" i="4"/>
  <c r="L108" i="4"/>
  <c r="K108" i="4"/>
  <c r="M107" i="4"/>
  <c r="L107" i="4"/>
  <c r="K107" i="4"/>
  <c r="M106" i="4"/>
  <c r="L106" i="4"/>
  <c r="K106" i="4"/>
  <c r="M105" i="4"/>
  <c r="L105" i="4"/>
  <c r="K105" i="4"/>
  <c r="M104" i="4"/>
  <c r="L104" i="4"/>
  <c r="K104" i="4"/>
  <c r="M103" i="4"/>
  <c r="L103" i="4"/>
  <c r="K103" i="4"/>
  <c r="M102" i="4"/>
  <c r="L102" i="4"/>
  <c r="K102" i="4"/>
  <c r="M101" i="4"/>
  <c r="L101" i="4"/>
  <c r="K101" i="4"/>
  <c r="M100" i="4"/>
  <c r="L100" i="4"/>
  <c r="K100" i="4"/>
  <c r="M99" i="4"/>
  <c r="L99" i="4"/>
  <c r="K99" i="4"/>
  <c r="M98" i="4"/>
  <c r="L98" i="4"/>
  <c r="K98" i="4"/>
  <c r="M97" i="4"/>
  <c r="L97" i="4"/>
  <c r="K97" i="4"/>
  <c r="M96" i="4"/>
  <c r="L96" i="4"/>
  <c r="K96" i="4"/>
  <c r="M95" i="4"/>
  <c r="L95" i="4"/>
  <c r="K95" i="4"/>
  <c r="M94" i="4"/>
  <c r="L94" i="4"/>
  <c r="K94" i="4"/>
  <c r="M93" i="4"/>
  <c r="L93" i="4"/>
  <c r="K93" i="4"/>
  <c r="M92" i="4"/>
  <c r="L92" i="4"/>
  <c r="K92" i="4"/>
  <c r="M91" i="4"/>
  <c r="L91" i="4"/>
  <c r="K91" i="4"/>
  <c r="M90" i="4"/>
  <c r="L90" i="4"/>
  <c r="K90" i="4"/>
  <c r="M89" i="4"/>
  <c r="L89" i="4"/>
  <c r="K89" i="4"/>
  <c r="M88" i="4"/>
  <c r="L88" i="4"/>
  <c r="K88" i="4"/>
  <c r="M87" i="4"/>
  <c r="L87" i="4"/>
  <c r="K87" i="4"/>
  <c r="M86" i="4"/>
  <c r="L86" i="4"/>
  <c r="K86" i="4"/>
  <c r="M85" i="4"/>
  <c r="L85" i="4"/>
  <c r="K85" i="4"/>
  <c r="M84" i="4"/>
  <c r="L84" i="4"/>
  <c r="K84" i="4"/>
  <c r="M83" i="4"/>
  <c r="L83" i="4"/>
  <c r="K83" i="4"/>
  <c r="M82" i="4"/>
  <c r="L82" i="4"/>
  <c r="K82" i="4"/>
  <c r="M81" i="4"/>
  <c r="L81" i="4"/>
  <c r="K81" i="4"/>
  <c r="M80" i="4"/>
  <c r="L80" i="4"/>
  <c r="K80" i="4"/>
  <c r="M79" i="4"/>
  <c r="L79" i="4"/>
  <c r="K79" i="4"/>
  <c r="M78" i="4"/>
  <c r="L78" i="4"/>
  <c r="K78" i="4"/>
  <c r="M77" i="4"/>
  <c r="L77" i="4"/>
  <c r="K77" i="4"/>
  <c r="M76" i="4"/>
  <c r="L76" i="4"/>
  <c r="K76" i="4"/>
  <c r="M75" i="4"/>
  <c r="L75" i="4"/>
  <c r="K75" i="4"/>
  <c r="M74" i="4"/>
  <c r="L74" i="4"/>
  <c r="K74" i="4"/>
  <c r="M73" i="4"/>
  <c r="L73" i="4"/>
  <c r="K73" i="4"/>
  <c r="M72" i="4"/>
  <c r="L72" i="4"/>
  <c r="K72" i="4"/>
  <c r="M71" i="4"/>
  <c r="L71" i="4"/>
  <c r="K71" i="4"/>
  <c r="M70" i="4"/>
  <c r="L70" i="4"/>
  <c r="K70" i="4"/>
  <c r="M69" i="4"/>
  <c r="L69" i="4"/>
  <c r="K69" i="4"/>
  <c r="M68" i="4"/>
  <c r="L68" i="4"/>
  <c r="K68" i="4"/>
  <c r="M67" i="4"/>
  <c r="L67" i="4"/>
  <c r="K67" i="4"/>
  <c r="M66" i="4"/>
  <c r="L66" i="4"/>
  <c r="K66" i="4"/>
  <c r="M65" i="4"/>
  <c r="L65" i="4"/>
  <c r="K65" i="4"/>
  <c r="M64" i="4"/>
  <c r="L64" i="4"/>
  <c r="K64" i="4"/>
  <c r="M63" i="4"/>
  <c r="L63" i="4"/>
  <c r="K63" i="4"/>
  <c r="M62" i="4"/>
  <c r="L62" i="4"/>
  <c r="K62" i="4"/>
  <c r="M61" i="4"/>
  <c r="L61" i="4"/>
  <c r="K61" i="4"/>
  <c r="M60" i="4"/>
  <c r="L60" i="4"/>
  <c r="K60" i="4"/>
  <c r="M59" i="4"/>
  <c r="L59" i="4"/>
  <c r="K59" i="4"/>
  <c r="M58" i="4"/>
  <c r="L58" i="4"/>
  <c r="K58" i="4"/>
  <c r="M57" i="4"/>
  <c r="L57" i="4"/>
  <c r="K57" i="4"/>
  <c r="M56" i="4"/>
  <c r="L56" i="4"/>
  <c r="K56" i="4"/>
  <c r="M55" i="4"/>
  <c r="L55" i="4"/>
  <c r="K55" i="4"/>
  <c r="M54" i="4"/>
  <c r="L54" i="4"/>
  <c r="K54" i="4"/>
  <c r="M53" i="4"/>
  <c r="L53" i="4"/>
  <c r="K53" i="4"/>
  <c r="M52" i="4"/>
  <c r="L52" i="4"/>
  <c r="K52" i="4"/>
  <c r="M51" i="4"/>
  <c r="L51" i="4"/>
  <c r="K51" i="4"/>
  <c r="M50" i="4"/>
  <c r="L50" i="4"/>
  <c r="K50" i="4"/>
  <c r="M49" i="4"/>
  <c r="L49" i="4"/>
  <c r="K49" i="4"/>
  <c r="M48" i="4"/>
  <c r="L48" i="4"/>
  <c r="K48" i="4"/>
  <c r="M47" i="4"/>
  <c r="L47" i="4"/>
  <c r="K47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M41" i="4"/>
  <c r="L41" i="4"/>
  <c r="K41" i="4"/>
  <c r="M40" i="4"/>
  <c r="L40" i="4"/>
  <c r="K40" i="4"/>
  <c r="M39" i="4"/>
  <c r="L39" i="4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I16" i="5" l="1"/>
  <c r="I7" i="5"/>
  <c r="J7" i="5" s="1"/>
  <c r="H25" i="7"/>
  <c r="G26" i="7"/>
  <c r="E30" i="7"/>
  <c r="E28" i="7"/>
  <c r="D32" i="7"/>
  <c r="D33" i="7" s="1"/>
  <c r="E29" i="7"/>
  <c r="I13" i="5"/>
  <c r="J13" i="5" s="1"/>
  <c r="I10" i="5"/>
  <c r="J10" i="5" s="1"/>
  <c r="H7" i="6"/>
  <c r="K7" i="6" s="1"/>
  <c r="H10" i="6"/>
  <c r="H13" i="6"/>
  <c r="H16" i="6"/>
  <c r="K16" i="6" s="1"/>
  <c r="L16" i="6" s="1"/>
  <c r="I10" i="6" l="1"/>
  <c r="K10" i="6"/>
  <c r="L10" i="6" s="1"/>
  <c r="G27" i="7"/>
  <c r="H26" i="7"/>
  <c r="I13" i="6"/>
  <c r="K13" i="6"/>
  <c r="L13" i="6" s="1"/>
  <c r="D34" i="7"/>
  <c r="I7" i="6"/>
  <c r="L7" i="6"/>
  <c r="G28" i="7" l="1"/>
  <c r="H27" i="7"/>
  <c r="D35" i="7"/>
  <c r="L21" i="1"/>
  <c r="H22" i="1"/>
  <c r="H21" i="1"/>
  <c r="J21" i="1"/>
  <c r="K20" i="3"/>
  <c r="I20" i="3"/>
  <c r="M36" i="3"/>
  <c r="K36" i="3"/>
  <c r="I36" i="3"/>
  <c r="I37" i="3"/>
  <c r="I40" i="3"/>
  <c r="I44" i="3"/>
  <c r="G29" i="7" l="1"/>
  <c r="H28" i="7"/>
  <c r="D36" i="7"/>
  <c r="H28" i="1"/>
  <c r="G30" i="7" l="1"/>
  <c r="H29" i="7"/>
  <c r="D37" i="7"/>
  <c r="P18" i="2"/>
  <c r="R17" i="2"/>
  <c r="P15" i="2"/>
  <c r="R14" i="2"/>
  <c r="H25" i="1"/>
  <c r="N24" i="1"/>
  <c r="L24" i="1"/>
  <c r="J24" i="1"/>
  <c r="O39" i="3"/>
  <c r="K24" i="3"/>
  <c r="G31" i="7" l="1"/>
  <c r="H30" i="7"/>
  <c r="D38" i="7"/>
  <c r="K39" i="3"/>
  <c r="H12" i="1"/>
  <c r="H13" i="1"/>
  <c r="H14" i="1" s="1"/>
  <c r="E19" i="1" s="1"/>
  <c r="H24" i="1" s="1"/>
  <c r="H27" i="1" s="1"/>
  <c r="H30" i="1" s="1"/>
  <c r="G32" i="7" l="1"/>
  <c r="H31" i="7"/>
  <c r="D39" i="7"/>
  <c r="E26" i="1"/>
  <c r="I24" i="3"/>
  <c r="I27" i="3" s="1"/>
  <c r="I39" i="3"/>
  <c r="G33" i="7" l="1"/>
  <c r="H33" i="7" s="1"/>
  <c r="H32" i="7"/>
  <c r="D40" i="7"/>
  <c r="M11" i="2"/>
  <c r="P14" i="2" s="1"/>
  <c r="I13" i="3"/>
  <c r="I12" i="3"/>
  <c r="I14" i="3" s="1"/>
  <c r="F22" i="3" s="1"/>
  <c r="I25" i="3" s="1"/>
  <c r="I28" i="3" s="1"/>
  <c r="I30" i="3" s="1"/>
  <c r="H13" i="2"/>
  <c r="H12" i="2"/>
  <c r="D41" i="7" l="1"/>
  <c r="F37" i="3"/>
  <c r="M39" i="3" s="1"/>
  <c r="I43" i="3" s="1"/>
  <c r="I46" i="3" s="1"/>
  <c r="F42" i="3" s="1"/>
  <c r="F24" i="3"/>
  <c r="H14" i="2"/>
  <c r="P17" i="2"/>
  <c r="P21" i="2" s="1"/>
  <c r="D42" i="7" l="1"/>
  <c r="M16" i="2"/>
</calcChain>
</file>

<file path=xl/sharedStrings.xml><?xml version="1.0" encoding="utf-8"?>
<sst xmlns="http://schemas.openxmlformats.org/spreadsheetml/2006/main" count="540" uniqueCount="224">
  <si>
    <t>TAT</t>
  </si>
  <si>
    <t xml:space="preserve"> </t>
  </si>
  <si>
    <t>Awal</t>
  </si>
  <si>
    <t>Akhir</t>
  </si>
  <si>
    <t>Volume Sampel (ml)</t>
  </si>
  <si>
    <t>No.</t>
  </si>
  <si>
    <t>FORMAT DATA TITRASI</t>
  </si>
  <si>
    <t xml:space="preserve">  </t>
  </si>
  <si>
    <t>Volume X (ml)</t>
  </si>
  <si>
    <t>FORMAT DATA STANDARISASI</t>
  </si>
  <si>
    <t>Data standarisasi</t>
  </si>
  <si>
    <t>Volume Y (ml)</t>
  </si>
  <si>
    <t>Volume X yang digunakan (ml)</t>
  </si>
  <si>
    <t>x: penitar/ di buret</t>
  </si>
  <si>
    <t>y: bbp/yang di erlenmeyer</t>
  </si>
  <si>
    <t>Volume rata-rata penitar (ml):</t>
  </si>
  <si>
    <t>NO</t>
  </si>
  <si>
    <t xml:space="preserve"> Diketahui</t>
  </si>
  <si>
    <t>Formula Perhitungan</t>
  </si>
  <si>
    <t xml:space="preserve"> Volume titrasi (ml)</t>
  </si>
  <si>
    <t>Kadar (g/L) =</t>
  </si>
  <si>
    <t>Fp</t>
  </si>
  <si>
    <t>Konsentrasi Penitar (N, M)</t>
  </si>
  <si>
    <t>=</t>
  </si>
  <si>
    <t>Volume yang dipipet (ml)</t>
  </si>
  <si>
    <t>Faktor Pengenceran</t>
  </si>
  <si>
    <r>
      <t>Kadar (</t>
    </r>
    <r>
      <rPr>
        <vertAlign val="superscript"/>
        <sz val="12"/>
        <color theme="1"/>
        <rFont val="Times New Roman"/>
        <family val="1"/>
      </rPr>
      <t>g</t>
    </r>
    <r>
      <rPr>
        <sz val="12"/>
        <color theme="1"/>
        <rFont val="Times New Roman"/>
        <family val="1"/>
      </rPr>
      <t>/</t>
    </r>
    <r>
      <rPr>
        <vertAlign val="subscript"/>
        <sz val="12"/>
        <color theme="1"/>
        <rFont val="Times New Roman"/>
        <family val="1"/>
      </rPr>
      <t>L</t>
    </r>
    <r>
      <rPr>
        <sz val="12"/>
        <color theme="1"/>
        <rFont val="Times New Roman"/>
        <family val="1"/>
      </rPr>
      <t>)</t>
    </r>
  </si>
  <si>
    <t xml:space="preserve"> Volume Y (ml)</t>
  </si>
  <si>
    <t>Konsentrasi Y (N, M)</t>
  </si>
  <si>
    <t>Konsentrasi X (N, M)</t>
  </si>
  <si>
    <t>Volume rata-rata X penitar (ml):</t>
  </si>
  <si>
    <t>Volume rata-rata X</t>
  </si>
  <si>
    <t xml:space="preserve"> Volume rata-rataX (ml)</t>
  </si>
  <si>
    <t>Volume sampel (ml)</t>
  </si>
  <si>
    <t>Volume penitar (ml)</t>
  </si>
  <si>
    <t>Volume penitar yang digunakan (ml)</t>
  </si>
  <si>
    <t>Data titrasi</t>
  </si>
  <si>
    <t>sampel: bbp/sampelang di erlenmeyer/ sampel</t>
  </si>
  <si>
    <t>FORMAT DATA STANDARISASI &amp; PENETAPAN KADAR</t>
  </si>
  <si>
    <t>Formula Perhitungan Penetapan Kadar</t>
  </si>
  <si>
    <t>Konsentrasi X =</t>
  </si>
  <si>
    <t xml:space="preserve"> Volume rata2 titrasi (ml)</t>
  </si>
  <si>
    <t>Konsentrasi Y</t>
  </si>
  <si>
    <t>Volume Y</t>
  </si>
  <si>
    <t>Konsenttrasi X =</t>
  </si>
  <si>
    <t>Formula Perhitungan Standarisasi Baku Sekunder</t>
  </si>
  <si>
    <t>Hasil</t>
  </si>
  <si>
    <t>Nilai</t>
  </si>
  <si>
    <t>X:</t>
  </si>
  <si>
    <t>yang ingin distandrarisasi</t>
  </si>
  <si>
    <t>Y:</t>
  </si>
  <si>
    <t>penstandarisasi</t>
  </si>
  <si>
    <t xml:space="preserve"> x</t>
  </si>
  <si>
    <t>x</t>
  </si>
  <si>
    <t>Volume rata-rata titrasi (ml):</t>
  </si>
  <si>
    <r>
      <t>Ar/Mr/ (</t>
    </r>
    <r>
      <rPr>
        <vertAlign val="superscript"/>
        <sz val="12"/>
        <color theme="1"/>
        <rFont val="Times New Roman"/>
        <family val="1"/>
      </rPr>
      <t>g</t>
    </r>
    <r>
      <rPr>
        <sz val="12"/>
        <color theme="1"/>
        <rFont val="Times New Roman"/>
        <family val="1"/>
      </rPr>
      <t>/</t>
    </r>
    <r>
      <rPr>
        <vertAlign val="subscript"/>
        <sz val="12"/>
        <color theme="1"/>
        <rFont val="Times New Roman"/>
        <family val="1"/>
      </rPr>
      <t>mol</t>
    </r>
    <r>
      <rPr>
        <sz val="12"/>
        <color theme="1"/>
        <rFont val="Times New Roman"/>
        <family val="1"/>
      </rPr>
      <t>)</t>
    </r>
  </si>
  <si>
    <t>Unsur/Senyawa</t>
  </si>
  <si>
    <t>Keterangan</t>
  </si>
  <si>
    <t>SPU KIMIA</t>
  </si>
  <si>
    <t>Pencarian Otomatis</t>
  </si>
  <si>
    <t>Nomor atom</t>
  </si>
  <si>
    <t>Lambang Unsur</t>
  </si>
  <si>
    <t>Nomor Massa (Ar)</t>
  </si>
  <si>
    <t>Golongan</t>
  </si>
  <si>
    <t>Periode</t>
  </si>
  <si>
    <t>H</t>
  </si>
  <si>
    <t>1A</t>
  </si>
  <si>
    <t>He</t>
  </si>
  <si>
    <t>8A</t>
  </si>
  <si>
    <t>Li</t>
  </si>
  <si>
    <t>Be</t>
  </si>
  <si>
    <t>2A</t>
  </si>
  <si>
    <t>B</t>
  </si>
  <si>
    <t>3A</t>
  </si>
  <si>
    <t>C</t>
  </si>
  <si>
    <t>4A</t>
  </si>
  <si>
    <t>N</t>
  </si>
  <si>
    <t>5A</t>
  </si>
  <si>
    <t>O</t>
  </si>
  <si>
    <t>6A</t>
  </si>
  <si>
    <t>F</t>
  </si>
  <si>
    <t>7A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</si>
  <si>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</si>
  <si>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</si>
  <si>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</si>
  <si>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</si>
  <si>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</si>
  <si>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</si>
  <si>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</si>
  <si>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</si>
  <si>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</si>
  <si>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</si>
  <si>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</si>
  <si>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</si>
  <si>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3B</t>
  </si>
  <si>
    <t>Ti</t>
  </si>
  <si>
    <t>4B</t>
  </si>
  <si>
    <t>V</t>
  </si>
  <si>
    <t>5B</t>
  </si>
  <si>
    <t>Cr</t>
  </si>
  <si>
    <t>6B</t>
  </si>
  <si>
    <t>Mn</t>
  </si>
  <si>
    <t>7B</t>
  </si>
  <si>
    <t>Fe</t>
  </si>
  <si>
    <t>8B</t>
  </si>
  <si>
    <t>Co</t>
  </si>
  <si>
    <t>Ni</t>
  </si>
  <si>
    <t>Cu</t>
  </si>
  <si>
    <t>1B</t>
  </si>
  <si>
    <t>Zn</t>
  </si>
  <si>
    <t>2B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</si>
  <si>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</si>
  <si>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</si>
  <si>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</si>
  <si>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</si>
  <si>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</si>
  <si>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</si>
  <si>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</si>
  <si>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</si>
  <si>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</si>
  <si>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</si>
  <si>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</si>
  <si>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</si>
  <si>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</si>
  <si>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</si>
  <si>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</si>
  <si>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</si>
  <si>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</si>
  <si>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</si>
  <si>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</si>
  <si>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</si>
  <si>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</si>
  <si>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</si>
  <si>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</si>
  <si>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</si>
  <si>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</si>
  <si>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</si>
  <si>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</si>
  <si>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</si>
  <si>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LANTANIDA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</si>
  <si>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</si>
  <si>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</si>
  <si>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</si>
  <si>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</si>
  <si>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</si>
  <si>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</si>
  <si>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</si>
  <si>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</si>
  <si>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</si>
  <si>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</si>
  <si>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</si>
  <si>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</si>
  <si>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</si>
  <si>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</si>
  <si>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</si>
  <si>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</si>
  <si>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</si>
  <si>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</si>
  <si>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</si>
  <si>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</si>
  <si>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</si>
  <si>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</si>
  <si>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</si>
  <si>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</si>
  <si>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</si>
  <si>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</si>
  <si>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</si>
  <si>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</si>
  <si>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</si>
  <si>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</si>
  <si>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</si>
  <si>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</si>
  <si>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AKTINIDA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</si>
  <si>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</si>
  <si>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</si>
  <si>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</si>
  <si>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</si>
  <si>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</si>
  <si>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</si>
  <si>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</si>
  <si>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</si>
  <si>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</si>
  <si>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</si>
  <si>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</si>
  <si>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</si>
  <si>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</si>
  <si>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Rf</t>
  </si>
  <si>
    <t>Db</t>
  </si>
  <si>
    <t>Sg</t>
  </si>
  <si>
    <t>Bh</t>
  </si>
  <si>
    <t>Hs</t>
  </si>
  <si>
    <t>Mt</t>
  </si>
  <si>
    <t>Ds</t>
  </si>
  <si>
    <t>Rg</t>
  </si>
  <si>
    <t>Cn</t>
  </si>
  <si>
    <t>Nh</t>
  </si>
  <si>
    <t>Fl</t>
  </si>
  <si>
    <t>Mc</t>
  </si>
  <si>
    <t>Lv</t>
  </si>
  <si>
    <t>Ts</t>
  </si>
  <si>
    <t>Og</t>
  </si>
  <si>
    <t xml:space="preserve">Perhitungan Massa Molar Senyawa </t>
  </si>
  <si>
    <t>Molekul</t>
  </si>
  <si>
    <t xml:space="preserve">Lambang Unsur </t>
  </si>
  <si>
    <t>Kuantitas Unsur</t>
  </si>
  <si>
    <t>Total Nomor Massa Unsur</t>
  </si>
  <si>
    <t>Total Massa Molar Senyawa</t>
  </si>
  <si>
    <t>Parameter</t>
  </si>
  <si>
    <t xml:space="preserve">Perhitungan Bobot Ekuivalen Senyawa </t>
  </si>
  <si>
    <t>Bobot Ekivalen</t>
  </si>
  <si>
    <t>Desimal 0,1</t>
  </si>
  <si>
    <t>Jumlah Ion</t>
  </si>
  <si>
    <t>PH  dari Y (Ka=)</t>
  </si>
  <si>
    <t>PH</t>
  </si>
  <si>
    <t>Volume (X) yang ditambahkan (mL)</t>
  </si>
  <si>
    <t>Ka (X)</t>
  </si>
  <si>
    <t>Volume setiap penambahan (mL)</t>
  </si>
  <si>
    <t>Volume ekuivalen/sempurna (mL)</t>
  </si>
  <si>
    <t>Volume Min (mL)</t>
  </si>
  <si>
    <t>Volume Max (mL)</t>
  </si>
  <si>
    <t>Sebelum Titik Ekuivalen</t>
  </si>
  <si>
    <t>Saat Titik Ekuivalen</t>
  </si>
  <si>
    <t>Kb (Y)</t>
  </si>
  <si>
    <t>Setelah Titik Ekuivalen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</si>
</sst>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00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7" fillId="0" borderId="0" xfId="0" applyFont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8" fillId="0" borderId="0" xfId="0" applyFont="1"/>
    <xf numFmtId="0" fontId="2" fillId="0" borderId="16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8" fillId="0" borderId="16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Kurva titrasi</a:t>
            </a:r>
            <a:r>
              <a:rPr lang="id-ID" baseline="0"/>
              <a:t> 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('Curve Titration'!$D$22:$D$31,'Curve Titration'!$G$22,'Curve Titration'!$G$24:$G$33)</c:f>
              <c:numCache>
                <c:formatCode>0.00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('Curve Titration'!$E$22:$E$31,'Curve Titration'!$H$22,'Curve Titration'!$H$24:$H$33)</c:f>
              <c:numCache>
                <c:formatCode>0.00E+00</c:formatCode>
                <c:ptCount val="21"/>
                <c:pt idx="0" formatCode="0.00">
                  <c:v>2.8699643060074624</c:v>
                </c:pt>
                <c:pt idx="1">
                  <c:v>3.7856861025756001</c:v>
                </c:pt>
                <c:pt idx="2">
                  <c:v>4.1378686206869624</c:v>
                </c:pt>
                <c:pt idx="3">
                  <c:v>4.3719518267203306</c:v>
                </c:pt>
                <c:pt idx="4">
                  <c:v>4.5638373529592435</c:v>
                </c:pt>
                <c:pt idx="5">
                  <c:v>4.7399286120149249</c:v>
                </c:pt>
                <c:pt idx="6">
                  <c:v>4.9160198710706062</c:v>
                </c:pt>
                <c:pt idx="7">
                  <c:v>5.1079053973095192</c:v>
                </c:pt>
                <c:pt idx="8">
                  <c:v>5.3419886033428865</c:v>
                </c:pt>
                <c:pt idx="9">
                  <c:v>5.6941711214542483</c:v>
                </c:pt>
                <c:pt idx="10" formatCode="0.00">
                  <c:v>8.7194493081754718</c:v>
                </c:pt>
                <c:pt idx="11" formatCode="0.00">
                  <c:v>11.67778070526608</c:v>
                </c:pt>
                <c:pt idx="12" formatCode="0.00">
                  <c:v>11.958607314841775</c:v>
                </c:pt>
                <c:pt idx="13" formatCode="0.00">
                  <c:v>12.11539341870207</c:v>
                </c:pt>
                <c:pt idx="14" formatCode="0.00">
                  <c:v>12.221848749616356</c:v>
                </c:pt>
                <c:pt idx="15" formatCode="0.00">
                  <c:v>12.301029995663981</c:v>
                </c:pt>
                <c:pt idx="16" formatCode="0.00">
                  <c:v>12.363177902412826</c:v>
                </c:pt>
                <c:pt idx="17" formatCode="0.00">
                  <c:v>12.413734275855269</c:v>
                </c:pt>
                <c:pt idx="18" formatCode="0.00">
                  <c:v>12.455931955649724</c:v>
                </c:pt>
                <c:pt idx="19" formatCode="0.00">
                  <c:v>12.49184451154037</c:v>
                </c:pt>
                <c:pt idx="20" formatCode="0.00">
                  <c:v>12.522878745280337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FE-479F-A7D6-F8C116211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003936"/>
        <c:axId val="956002304"/>
      </c:scatterChart>
      <c:valAx>
        <c:axId val="95600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Volume Titran</a:t>
                </a:r>
                <a:r>
                  <a:rPr lang="id-ID" baseline="0"/>
                  <a:t> yang ditambahkan</a:t>
                </a:r>
              </a:p>
              <a:p>
                <a:pPr>
                  <a:defRPr/>
                </a:pPr>
                <a:r>
                  <a:rPr lang="id-ID"/>
                  <a:t>(mL)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02304"/>
        <c:crosses val="autoZero"/>
        <c:crossBetween val="midCat"/>
      </c:valAx>
      <c:valAx>
        <c:axId val="95600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03936"/>
        <c:crosses val="autoZero"/>
        <c:crossBetween val="midCat"/>
      </c:valAx>
      <c:spPr>
        <a:solidFill>
          <a:schemeClr val="accent4">
            <a:lumMod val="20000"/>
            <a:lumOff val="80000"/>
            <a:alpha val="79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61790</xdr:colOff>
      <xdr:row>16</xdr:row>
      <xdr:rowOff>733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5289090" y="33027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61790</xdr:colOff>
      <xdr:row>23</xdr:row>
      <xdr:rowOff>733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0698040" y="4543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623692</xdr:colOff>
      <xdr:row>19</xdr:row>
      <xdr:rowOff>44101</xdr:rowOff>
    </xdr:from>
    <xdr:to>
      <xdr:col>16</xdr:col>
      <xdr:colOff>250521</xdr:colOff>
      <xdr:row>32</xdr:row>
      <xdr:rowOff>60281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cup%20Dimas-Laptop_2022-23\BUAT%20SETIAP%20PARAMETER,2022,rev\SPU%20KIM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U-HOME"/>
      <sheetName val="RUMUS HITUNG SENYAWA"/>
    </sheetNames>
    <sheetDataSet>
      <sheetData sheetId="0">
        <row r="6">
          <cell r="C6" t="str">
            <v>Lambang Unsur</v>
          </cell>
          <cell r="D6" t="str">
            <v>Nomor Massa (Ar)</v>
          </cell>
          <cell r="E6" t="str">
            <v>Golongan</v>
          </cell>
          <cell r="F6" t="str">
            <v>Periode</v>
          </cell>
        </row>
        <row r="7">
          <cell r="C7" t="str">
            <v>H</v>
          </cell>
          <cell r="D7">
            <v>1.0079400000000001</v>
          </cell>
          <cell r="E7" t="str">
            <v>1A</v>
          </cell>
          <cell r="F7">
            <v>1</v>
          </cell>
        </row>
        <row r="8">
          <cell r="C8" t="str">
            <v>He</v>
          </cell>
          <cell r="D8">
            <v>4.0026000000000002</v>
          </cell>
          <cell r="E8" t="str">
            <v>8A</v>
          </cell>
          <cell r="F8">
            <v>1</v>
          </cell>
        </row>
        <row r="9">
          <cell r="C9" t="str">
            <v>Li</v>
          </cell>
          <cell r="D9">
            <v>6.9409999999999998</v>
          </cell>
          <cell r="E9" t="str">
            <v>1A</v>
          </cell>
          <cell r="F9">
            <v>2</v>
          </cell>
        </row>
        <row r="10">
          <cell r="C10" t="str">
            <v>Be</v>
          </cell>
          <cell r="D10">
            <v>9.0122</v>
          </cell>
          <cell r="E10" t="str">
            <v>2A</v>
          </cell>
          <cell r="F10">
            <v>2</v>
          </cell>
        </row>
        <row r="11">
          <cell r="C11" t="str">
            <v>B</v>
          </cell>
          <cell r="D11">
            <v>10.881</v>
          </cell>
          <cell r="E11" t="str">
            <v>3A</v>
          </cell>
          <cell r="F11">
            <v>2</v>
          </cell>
        </row>
        <row r="12">
          <cell r="C12" t="str">
            <v>C</v>
          </cell>
          <cell r="D12">
            <v>12.0107</v>
          </cell>
          <cell r="E12" t="str">
            <v>4A</v>
          </cell>
          <cell r="F12">
            <v>2</v>
          </cell>
        </row>
        <row r="13">
          <cell r="C13" t="str">
            <v>N</v>
          </cell>
          <cell r="D13">
            <v>14.0067</v>
          </cell>
          <cell r="E13" t="str">
            <v>5A</v>
          </cell>
          <cell r="F13">
            <v>2</v>
          </cell>
        </row>
        <row r="14">
          <cell r="C14" t="str">
            <v>O</v>
          </cell>
          <cell r="D14">
            <v>15.993</v>
          </cell>
          <cell r="E14" t="str">
            <v>6A</v>
          </cell>
          <cell r="F14">
            <v>2</v>
          </cell>
        </row>
        <row r="15">
          <cell r="C15" t="str">
            <v>F</v>
          </cell>
          <cell r="D15">
            <v>18.9984</v>
          </cell>
          <cell r="E15" t="str">
            <v>7A</v>
          </cell>
          <cell r="F15">
            <v>2</v>
          </cell>
        </row>
        <row r="16">
          <cell r="C16" t="str">
            <v>Ne</v>
          </cell>
          <cell r="D16">
            <v>20.1797</v>
          </cell>
          <cell r="E16" t="str">
            <v>8A</v>
          </cell>
          <cell r="F16">
            <v>2</v>
          </cell>
        </row>
        <row r="17">
          <cell r="C17" t="str">
            <v>Na</v>
          </cell>
          <cell r="D17">
            <v>22.989799999999999</v>
          </cell>
          <cell r="E17" t="str">
            <v>1A</v>
          </cell>
          <cell r="F17">
            <v>3</v>
          </cell>
        </row>
        <row r="18">
          <cell r="C18" t="str">
            <v>Mg</v>
          </cell>
          <cell r="D18">
            <v>24.305</v>
          </cell>
          <cell r="E18" t="str">
            <v>2A</v>
          </cell>
          <cell r="F18">
            <v>3</v>
          </cell>
        </row>
        <row r="19">
          <cell r="C19" t="str">
            <v>Al</v>
          </cell>
          <cell r="D19">
            <v>26.9815</v>
          </cell>
          <cell r="E19" t="str">
            <v>3A</v>
          </cell>
          <cell r="F19">
            <v>3</v>
          </cell>
        </row>
        <row r="20">
          <cell r="C20" t="str">
            <v>Si</v>
          </cell>
          <cell r="D20">
            <v>28.055</v>
          </cell>
          <cell r="E20" t="str">
            <v>4A</v>
          </cell>
          <cell r="F20">
            <v>3</v>
          </cell>
        </row>
        <row r="21">
          <cell r="C21" t="str">
            <v>P</v>
          </cell>
          <cell r="D21">
            <v>30.973800000000001</v>
          </cell>
          <cell r="E21" t="str">
            <v>5A</v>
          </cell>
          <cell r="F21">
            <v>3</v>
          </cell>
        </row>
        <row r="22">
          <cell r="C22" t="str">
            <v>S</v>
          </cell>
          <cell r="D22">
            <v>32.064999999999998</v>
          </cell>
          <cell r="E22" t="str">
            <v>6A</v>
          </cell>
          <cell r="F22">
            <v>3</v>
          </cell>
        </row>
        <row r="23">
          <cell r="C23" t="str">
            <v>Cl</v>
          </cell>
          <cell r="D23">
            <v>35.4527</v>
          </cell>
          <cell r="E23" t="str">
            <v>7A</v>
          </cell>
          <cell r="F23">
            <v>3</v>
          </cell>
        </row>
        <row r="24">
          <cell r="C24" t="str">
            <v>Ar</v>
          </cell>
          <cell r="D24">
            <v>39.948</v>
          </cell>
          <cell r="E24" t="str">
            <v>8A</v>
          </cell>
          <cell r="F24">
            <v>3</v>
          </cell>
        </row>
        <row r="25">
          <cell r="C25" t="str">
            <v>K</v>
          </cell>
          <cell r="D25">
            <v>39.098300000000002</v>
          </cell>
          <cell r="E25" t="str">
            <v>1A</v>
          </cell>
          <cell r="F25">
            <v>4</v>
          </cell>
        </row>
        <row r="26">
          <cell r="C26" t="str">
            <v>Ca</v>
          </cell>
          <cell r="D26">
            <v>40.078000000000003</v>
          </cell>
          <cell r="E26" t="str">
            <v>2A</v>
          </cell>
          <cell r="F26">
            <v>4</v>
          </cell>
        </row>
        <row r="27">
          <cell r="C27" t="str">
            <v>Sc</v>
          </cell>
          <cell r="D27">
            <v>44.9559</v>
          </cell>
          <cell r="E27" t="str">
            <v>3B</v>
          </cell>
          <cell r="F27">
            <v>4</v>
          </cell>
        </row>
        <row r="28">
          <cell r="C28" t="str">
            <v>Ti</v>
          </cell>
          <cell r="D28">
            <v>47.67</v>
          </cell>
          <cell r="E28" t="str">
            <v>4B</v>
          </cell>
          <cell r="F28">
            <v>4</v>
          </cell>
        </row>
        <row r="29">
          <cell r="C29" t="str">
            <v>V</v>
          </cell>
          <cell r="D29">
            <v>50.941499999999998</v>
          </cell>
          <cell r="E29" t="str">
            <v>5B</v>
          </cell>
          <cell r="F29">
            <v>4</v>
          </cell>
        </row>
        <row r="30">
          <cell r="C30" t="str">
            <v>Cr</v>
          </cell>
          <cell r="D30">
            <v>51.996099999999998</v>
          </cell>
          <cell r="E30" t="str">
            <v>6B</v>
          </cell>
          <cell r="F30">
            <v>4</v>
          </cell>
        </row>
        <row r="31">
          <cell r="C31" t="str">
            <v>Mn</v>
          </cell>
          <cell r="D31">
            <v>54.938000000000002</v>
          </cell>
          <cell r="E31" t="str">
            <v>7B</v>
          </cell>
          <cell r="F31">
            <v>4</v>
          </cell>
        </row>
        <row r="32">
          <cell r="C32" t="str">
            <v>Fe</v>
          </cell>
          <cell r="D32">
            <v>55.844999999999999</v>
          </cell>
          <cell r="E32" t="str">
            <v>8B</v>
          </cell>
          <cell r="F32">
            <v>4</v>
          </cell>
        </row>
        <row r="33">
          <cell r="C33" t="str">
            <v>Co</v>
          </cell>
          <cell r="D33">
            <v>58.933199999999999</v>
          </cell>
          <cell r="E33" t="str">
            <v>8B</v>
          </cell>
          <cell r="F33">
            <v>4</v>
          </cell>
        </row>
        <row r="34">
          <cell r="C34" t="str">
            <v>Ni</v>
          </cell>
          <cell r="D34">
            <v>58.693399999999997</v>
          </cell>
          <cell r="E34" t="str">
            <v>8B</v>
          </cell>
          <cell r="F34">
            <v>4</v>
          </cell>
        </row>
        <row r="35">
          <cell r="C35" t="str">
            <v>Cu</v>
          </cell>
          <cell r="D35">
            <v>63.545999999999999</v>
          </cell>
          <cell r="E35" t="str">
            <v>1B</v>
          </cell>
          <cell r="F35">
            <v>4</v>
          </cell>
        </row>
        <row r="36">
          <cell r="C36" t="str">
            <v>Zn</v>
          </cell>
          <cell r="D36">
            <v>65.409000000000006</v>
          </cell>
          <cell r="E36" t="str">
            <v>2B</v>
          </cell>
          <cell r="F36">
            <v>4</v>
          </cell>
        </row>
        <row r="37">
          <cell r="C37" t="str">
            <v>Ga</v>
          </cell>
          <cell r="D37">
            <v>69.722999999999999</v>
          </cell>
          <cell r="E37" t="str">
            <v>3A</v>
          </cell>
          <cell r="F37">
            <v>4</v>
          </cell>
        </row>
        <row r="38">
          <cell r="C38" t="str">
            <v>Ge</v>
          </cell>
          <cell r="D38">
            <v>72.64</v>
          </cell>
          <cell r="E38" t="str">
            <v>4A</v>
          </cell>
          <cell r="F38">
            <v>4</v>
          </cell>
        </row>
        <row r="39">
          <cell r="C39" t="str">
            <v>As</v>
          </cell>
          <cell r="D39">
            <v>74.921599999999998</v>
          </cell>
          <cell r="E39" t="str">
            <v>5A</v>
          </cell>
          <cell r="F39">
            <v>4</v>
          </cell>
        </row>
        <row r="40">
          <cell r="C40" t="str">
            <v>Se</v>
          </cell>
          <cell r="D40">
            <v>78.959999999999994</v>
          </cell>
          <cell r="E40" t="str">
            <v>6A</v>
          </cell>
          <cell r="F40">
            <v>4</v>
          </cell>
        </row>
        <row r="41">
          <cell r="C41" t="str">
            <v>Br</v>
          </cell>
          <cell r="D41">
            <v>79.903999999999996</v>
          </cell>
          <cell r="E41" t="str">
            <v>7A</v>
          </cell>
          <cell r="F41">
            <v>4</v>
          </cell>
        </row>
        <row r="42">
          <cell r="C42" t="str">
            <v>Kr</v>
          </cell>
          <cell r="D42">
            <v>83.8</v>
          </cell>
          <cell r="E42" t="str">
            <v>8A</v>
          </cell>
          <cell r="F42">
            <v>4</v>
          </cell>
        </row>
        <row r="43">
          <cell r="C43" t="str">
            <v>Rb</v>
          </cell>
          <cell r="D43">
            <v>85.467799999999997</v>
          </cell>
          <cell r="E43" t="str">
            <v>1A</v>
          </cell>
          <cell r="F43">
            <v>5</v>
          </cell>
        </row>
        <row r="44">
          <cell r="C44" t="str">
            <v>Sr</v>
          </cell>
          <cell r="D44">
            <v>87.62</v>
          </cell>
          <cell r="E44" t="str">
            <v>2A</v>
          </cell>
          <cell r="F44">
            <v>5</v>
          </cell>
        </row>
        <row r="45">
          <cell r="C45" t="str">
            <v>Y</v>
          </cell>
          <cell r="D45">
            <v>88.905850000000001</v>
          </cell>
          <cell r="E45" t="str">
            <v>3B</v>
          </cell>
          <cell r="F45">
            <v>5</v>
          </cell>
        </row>
        <row r="46">
          <cell r="C46" t="str">
            <v>Zr</v>
          </cell>
          <cell r="D46">
            <v>91.224000000000004</v>
          </cell>
          <cell r="E46" t="str">
            <v>4B</v>
          </cell>
          <cell r="F46">
            <v>5</v>
          </cell>
        </row>
        <row r="47">
          <cell r="C47" t="str">
            <v>Nb</v>
          </cell>
          <cell r="D47">
            <v>92.906379999999999</v>
          </cell>
          <cell r="E47" t="str">
            <v>5B</v>
          </cell>
          <cell r="F47">
            <v>5</v>
          </cell>
        </row>
        <row r="48">
          <cell r="C48" t="str">
            <v>Mo</v>
          </cell>
          <cell r="D48">
            <v>95.94</v>
          </cell>
          <cell r="E48" t="str">
            <v>6B</v>
          </cell>
          <cell r="F48">
            <v>5</v>
          </cell>
        </row>
        <row r="49">
          <cell r="C49" t="str">
            <v>Tc</v>
          </cell>
          <cell r="D49">
            <v>98</v>
          </cell>
          <cell r="E49" t="str">
            <v>7B</v>
          </cell>
          <cell r="F49">
            <v>5</v>
          </cell>
        </row>
        <row r="50">
          <cell r="C50" t="str">
            <v>Ru</v>
          </cell>
          <cell r="D50">
            <v>101.07</v>
          </cell>
          <cell r="E50" t="str">
            <v>8B</v>
          </cell>
          <cell r="F50">
            <v>5</v>
          </cell>
        </row>
        <row r="51">
          <cell r="C51" t="str">
            <v>Rh</v>
          </cell>
          <cell r="D51">
            <v>102.9055</v>
          </cell>
          <cell r="E51" t="str">
            <v>8B</v>
          </cell>
          <cell r="F51">
            <v>5</v>
          </cell>
        </row>
        <row r="52">
          <cell r="C52" t="str">
            <v>Pd</v>
          </cell>
          <cell r="D52">
            <v>106.42</v>
          </cell>
          <cell r="E52" t="str">
            <v>8B</v>
          </cell>
          <cell r="F52">
            <v>5</v>
          </cell>
        </row>
        <row r="53">
          <cell r="C53" t="str">
            <v>Ag</v>
          </cell>
          <cell r="D53">
            <v>107.8082</v>
          </cell>
          <cell r="E53" t="str">
            <v>1B</v>
          </cell>
          <cell r="F53">
            <v>5</v>
          </cell>
        </row>
        <row r="54">
          <cell r="C54" t="str">
            <v>Cd</v>
          </cell>
          <cell r="D54">
            <v>112.411</v>
          </cell>
          <cell r="E54" t="str">
            <v>2B</v>
          </cell>
          <cell r="F54">
            <v>5</v>
          </cell>
        </row>
        <row r="55">
          <cell r="C55" t="str">
            <v>In</v>
          </cell>
          <cell r="D55">
            <v>114.818</v>
          </cell>
          <cell r="E55" t="str">
            <v>3A</v>
          </cell>
          <cell r="F55">
            <v>5</v>
          </cell>
        </row>
        <row r="56">
          <cell r="C56" t="str">
            <v>Sn</v>
          </cell>
          <cell r="D56">
            <v>118.71</v>
          </cell>
          <cell r="E56" t="str">
            <v>4A</v>
          </cell>
          <cell r="F56">
            <v>5</v>
          </cell>
        </row>
        <row r="57">
          <cell r="C57" t="str">
            <v>Sb</v>
          </cell>
          <cell r="D57">
            <v>121.76</v>
          </cell>
          <cell r="E57" t="str">
            <v>5A</v>
          </cell>
          <cell r="F57">
            <v>5</v>
          </cell>
        </row>
        <row r="58">
          <cell r="C58" t="str">
            <v>Te</v>
          </cell>
          <cell r="D58">
            <v>127.6</v>
          </cell>
          <cell r="E58" t="str">
            <v>6A</v>
          </cell>
          <cell r="F58">
            <v>5</v>
          </cell>
        </row>
        <row r="59">
          <cell r="C59" t="str">
            <v>I</v>
          </cell>
          <cell r="D59">
            <v>126.9045</v>
          </cell>
          <cell r="E59" t="str">
            <v>7A</v>
          </cell>
          <cell r="F59">
            <v>5</v>
          </cell>
        </row>
        <row r="60">
          <cell r="C60" t="str">
            <v>Xe</v>
          </cell>
          <cell r="D60">
            <v>131.29300000000001</v>
          </cell>
          <cell r="E60" t="str">
            <v>8A</v>
          </cell>
          <cell r="F60">
            <v>5</v>
          </cell>
        </row>
        <row r="61">
          <cell r="C61" t="str">
            <v>Cs</v>
          </cell>
          <cell r="D61">
            <v>132.90549999999999</v>
          </cell>
          <cell r="E61" t="str">
            <v>1A</v>
          </cell>
          <cell r="F61">
            <v>6</v>
          </cell>
        </row>
        <row r="62">
          <cell r="C62" t="str">
            <v>Ba</v>
          </cell>
          <cell r="D62">
            <v>137.327</v>
          </cell>
          <cell r="E62" t="str">
            <v>2A</v>
          </cell>
          <cell r="F62">
            <v>6</v>
          </cell>
        </row>
        <row r="63">
          <cell r="C63" t="str">
            <v>La</v>
          </cell>
          <cell r="D63">
            <v>138.90549999999999</v>
          </cell>
          <cell r="E63" t="str">
            <v>3B</v>
          </cell>
          <cell r="F63">
            <v>6</v>
          </cell>
        </row>
        <row r="64">
          <cell r="C64" t="str">
            <v>Ce</v>
          </cell>
          <cell r="D64">
            <v>140.11600000000001</v>
          </cell>
          <cell r="E64" t="str">
            <v>LANTANIDA</v>
          </cell>
          <cell r="F64" t="str">
            <v xml:space="preserve"> </v>
          </cell>
        </row>
        <row r="65">
          <cell r="C65" t="str">
            <v>Pr</v>
          </cell>
          <cell r="D65">
            <v>140.90770000000001</v>
          </cell>
          <cell r="E65" t="str">
            <v>LANTANIDA</v>
          </cell>
          <cell r="F65" t="str">
            <v xml:space="preserve"> </v>
          </cell>
        </row>
        <row r="66">
          <cell r="C66" t="str">
            <v>Nd</v>
          </cell>
          <cell r="D66">
            <v>144.24</v>
          </cell>
          <cell r="E66" t="str">
            <v>LANTANIDA</v>
          </cell>
          <cell r="F66" t="str">
            <v xml:space="preserve"> </v>
          </cell>
        </row>
        <row r="67">
          <cell r="C67" t="str">
            <v>Pm</v>
          </cell>
          <cell r="D67">
            <v>145</v>
          </cell>
          <cell r="E67" t="str">
            <v>LANTANIDA</v>
          </cell>
          <cell r="F67" t="str">
            <v xml:space="preserve"> </v>
          </cell>
        </row>
        <row r="68">
          <cell r="C68" t="str">
            <v>Sm</v>
          </cell>
          <cell r="D68">
            <v>150.36000000000001</v>
          </cell>
          <cell r="E68" t="str">
            <v>LANTANIDA</v>
          </cell>
          <cell r="F68" t="str">
            <v xml:space="preserve"> </v>
          </cell>
        </row>
        <row r="69">
          <cell r="C69" t="str">
            <v>Eu</v>
          </cell>
          <cell r="D69">
            <v>151.964</v>
          </cell>
          <cell r="E69" t="str">
            <v>LANTANIDA</v>
          </cell>
          <cell r="F69" t="str">
            <v xml:space="preserve"> </v>
          </cell>
        </row>
        <row r="70">
          <cell r="C70" t="str">
            <v>Gd</v>
          </cell>
          <cell r="D70">
            <v>157.25</v>
          </cell>
          <cell r="E70" t="str">
            <v>LANTANIDA</v>
          </cell>
          <cell r="F70" t="str">
            <v xml:space="preserve"> </v>
          </cell>
        </row>
        <row r="71">
          <cell r="C71" t="str">
            <v>Tb</v>
          </cell>
          <cell r="D71">
            <v>158.92529999999999</v>
          </cell>
          <cell r="E71" t="str">
            <v>LANTANIDA</v>
          </cell>
          <cell r="F71" t="str">
            <v xml:space="preserve"> </v>
          </cell>
        </row>
        <row r="72">
          <cell r="C72" t="str">
            <v>Dy</v>
          </cell>
          <cell r="D72">
            <v>162.5</v>
          </cell>
          <cell r="E72" t="str">
            <v>LANTANIDA</v>
          </cell>
          <cell r="F72" t="str">
            <v xml:space="preserve"> </v>
          </cell>
        </row>
        <row r="73">
          <cell r="C73" t="str">
            <v>Ho</v>
          </cell>
          <cell r="D73">
            <v>164.93029999999999</v>
          </cell>
          <cell r="E73" t="str">
            <v>LANTANIDA</v>
          </cell>
          <cell r="F73" t="str">
            <v xml:space="preserve"> </v>
          </cell>
        </row>
        <row r="74">
          <cell r="C74" t="str">
            <v>Er</v>
          </cell>
          <cell r="D74">
            <v>167.25899999999999</v>
          </cell>
          <cell r="E74" t="str">
            <v>LANTANIDA</v>
          </cell>
          <cell r="F74" t="str">
            <v xml:space="preserve"> </v>
          </cell>
        </row>
        <row r="75">
          <cell r="C75" t="str">
            <v>Tm</v>
          </cell>
          <cell r="D75">
            <v>168.9342</v>
          </cell>
          <cell r="E75" t="str">
            <v>LANTANIDA</v>
          </cell>
          <cell r="F75" t="str">
            <v xml:space="preserve"> </v>
          </cell>
        </row>
        <row r="76">
          <cell r="C76" t="str">
            <v>Yb</v>
          </cell>
          <cell r="D76">
            <v>173.04</v>
          </cell>
          <cell r="E76" t="str">
            <v>LANTANIDA</v>
          </cell>
          <cell r="F76" t="str">
            <v xml:space="preserve"> </v>
          </cell>
        </row>
        <row r="77">
          <cell r="C77" t="str">
            <v>Lu</v>
          </cell>
          <cell r="D77">
            <v>174.96700000000001</v>
          </cell>
          <cell r="E77" t="str">
            <v>LANTANIDA</v>
          </cell>
          <cell r="F77" t="str">
            <v xml:space="preserve"> </v>
          </cell>
        </row>
        <row r="78">
          <cell r="C78" t="str">
            <v>Hf</v>
          </cell>
          <cell r="D78">
            <v>178.49</v>
          </cell>
          <cell r="E78" t="str">
            <v>3B</v>
          </cell>
          <cell r="F78">
            <v>6</v>
          </cell>
        </row>
        <row r="79">
          <cell r="C79" t="str">
            <v>Ta</v>
          </cell>
          <cell r="D79">
            <v>180.9479</v>
          </cell>
          <cell r="E79" t="str">
            <v>4B</v>
          </cell>
          <cell r="F79">
            <v>6</v>
          </cell>
        </row>
        <row r="80">
          <cell r="C80" t="str">
            <v>W</v>
          </cell>
          <cell r="D80">
            <v>183.84</v>
          </cell>
          <cell r="E80" t="str">
            <v>5B</v>
          </cell>
          <cell r="F80">
            <v>6</v>
          </cell>
        </row>
        <row r="81">
          <cell r="C81" t="str">
            <v>Re</v>
          </cell>
          <cell r="D81">
            <v>186.20699999999999</v>
          </cell>
          <cell r="E81" t="str">
            <v>6B</v>
          </cell>
          <cell r="F81">
            <v>6</v>
          </cell>
        </row>
        <row r="82">
          <cell r="C82" t="str">
            <v>Os</v>
          </cell>
          <cell r="D82">
            <v>190.23</v>
          </cell>
          <cell r="E82" t="str">
            <v>7B</v>
          </cell>
          <cell r="F82">
            <v>6</v>
          </cell>
        </row>
        <row r="83">
          <cell r="C83" t="str">
            <v>Ir</v>
          </cell>
          <cell r="D83">
            <v>192.21700000000001</v>
          </cell>
          <cell r="E83" t="str">
            <v>8B</v>
          </cell>
          <cell r="F83">
            <v>6</v>
          </cell>
        </row>
        <row r="84">
          <cell r="C84" t="str">
            <v>Pt</v>
          </cell>
          <cell r="D84">
            <v>195.078</v>
          </cell>
          <cell r="E84" t="str">
            <v>8B</v>
          </cell>
          <cell r="F84">
            <v>6</v>
          </cell>
        </row>
        <row r="85">
          <cell r="C85" t="str">
            <v>Au</v>
          </cell>
          <cell r="D85">
            <v>196.96655000000001</v>
          </cell>
          <cell r="E85" t="str">
            <v>8B</v>
          </cell>
          <cell r="F85">
            <v>6</v>
          </cell>
        </row>
        <row r="86">
          <cell r="C86" t="str">
            <v>Hg</v>
          </cell>
          <cell r="D86">
            <v>200.59</v>
          </cell>
          <cell r="E86" t="str">
            <v>1B</v>
          </cell>
          <cell r="F86">
            <v>6</v>
          </cell>
        </row>
        <row r="87">
          <cell r="C87" t="str">
            <v>Tl</v>
          </cell>
          <cell r="D87">
            <v>204.38329999999999</v>
          </cell>
          <cell r="E87" t="str">
            <v>2B</v>
          </cell>
          <cell r="F87">
            <v>6</v>
          </cell>
        </row>
        <row r="88">
          <cell r="C88" t="str">
            <v>Pb</v>
          </cell>
          <cell r="D88">
            <v>207.2</v>
          </cell>
          <cell r="E88" t="str">
            <v>4A</v>
          </cell>
          <cell r="F88">
            <v>6</v>
          </cell>
        </row>
        <row r="89">
          <cell r="C89" t="str">
            <v>Bi</v>
          </cell>
          <cell r="D89">
            <v>208.9804</v>
          </cell>
          <cell r="E89" t="str">
            <v>5A</v>
          </cell>
          <cell r="F89">
            <v>6</v>
          </cell>
        </row>
        <row r="90">
          <cell r="C90" t="str">
            <v>Po</v>
          </cell>
          <cell r="D90">
            <v>208.98240000000001</v>
          </cell>
          <cell r="E90" t="str">
            <v>6A</v>
          </cell>
          <cell r="F90">
            <v>6</v>
          </cell>
        </row>
        <row r="91">
          <cell r="C91" t="str">
            <v>At</v>
          </cell>
          <cell r="D91">
            <v>210</v>
          </cell>
          <cell r="E91" t="str">
            <v>7A</v>
          </cell>
          <cell r="F91">
            <v>6</v>
          </cell>
        </row>
        <row r="92">
          <cell r="C92" t="str">
            <v>Rn</v>
          </cell>
          <cell r="D92">
            <v>222</v>
          </cell>
          <cell r="E92" t="str">
            <v>8A</v>
          </cell>
          <cell r="F92">
            <v>6</v>
          </cell>
        </row>
        <row r="93">
          <cell r="C93" t="str">
            <v>Fr</v>
          </cell>
          <cell r="D93">
            <v>223</v>
          </cell>
          <cell r="E93" t="str">
            <v>1A</v>
          </cell>
          <cell r="F93">
            <v>7</v>
          </cell>
        </row>
        <row r="94">
          <cell r="C94" t="str">
            <v>Ra</v>
          </cell>
          <cell r="D94">
            <v>226.02539999999999</v>
          </cell>
          <cell r="E94" t="str">
            <v>2A</v>
          </cell>
          <cell r="F94">
            <v>7</v>
          </cell>
        </row>
        <row r="95">
          <cell r="C95" t="str">
            <v>Ac</v>
          </cell>
          <cell r="D95">
            <v>227</v>
          </cell>
          <cell r="E95" t="str">
            <v>3B</v>
          </cell>
          <cell r="F95">
            <v>7</v>
          </cell>
        </row>
        <row r="96">
          <cell r="C96" t="str">
            <v>Th</v>
          </cell>
          <cell r="D96">
            <v>232.03800000000001</v>
          </cell>
          <cell r="E96" t="str">
            <v>AKTINIDA</v>
          </cell>
          <cell r="F96" t="str">
            <v xml:space="preserve"> </v>
          </cell>
        </row>
        <row r="97">
          <cell r="C97" t="str">
            <v>Pa</v>
          </cell>
          <cell r="D97">
            <v>231.036</v>
          </cell>
          <cell r="E97" t="str">
            <v>AKTINIDA</v>
          </cell>
          <cell r="F97" t="str">
            <v xml:space="preserve"> </v>
          </cell>
        </row>
        <row r="98">
          <cell r="C98" t="str">
            <v>U</v>
          </cell>
          <cell r="D98">
            <v>238.029</v>
          </cell>
          <cell r="E98" t="str">
            <v>AKTINIDA</v>
          </cell>
          <cell r="F98" t="str">
            <v xml:space="preserve"> </v>
          </cell>
        </row>
        <row r="99">
          <cell r="C99" t="str">
            <v>Np</v>
          </cell>
          <cell r="D99">
            <v>237</v>
          </cell>
          <cell r="E99" t="str">
            <v>AKTINIDA</v>
          </cell>
          <cell r="F99" t="str">
            <v xml:space="preserve"> </v>
          </cell>
        </row>
        <row r="100">
          <cell r="C100" t="str">
            <v>Pu</v>
          </cell>
          <cell r="D100">
            <v>244</v>
          </cell>
          <cell r="E100" t="str">
            <v>AKTINIDA</v>
          </cell>
          <cell r="F100" t="str">
            <v xml:space="preserve"> </v>
          </cell>
        </row>
        <row r="101">
          <cell r="C101" t="str">
            <v>Am</v>
          </cell>
          <cell r="D101">
            <v>243</v>
          </cell>
          <cell r="E101" t="str">
            <v>AKTINIDA</v>
          </cell>
          <cell r="F101" t="str">
            <v xml:space="preserve"> </v>
          </cell>
        </row>
        <row r="102">
          <cell r="C102" t="str">
            <v>Cm</v>
          </cell>
          <cell r="D102">
            <v>247</v>
          </cell>
          <cell r="E102" t="str">
            <v>AKTINIDA</v>
          </cell>
          <cell r="F102" t="str">
            <v xml:space="preserve"> </v>
          </cell>
        </row>
        <row r="103">
          <cell r="C103" t="str">
            <v>Bk</v>
          </cell>
          <cell r="D103">
            <v>247</v>
          </cell>
          <cell r="E103" t="str">
            <v>AKTINIDA</v>
          </cell>
          <cell r="F103" t="str">
            <v xml:space="preserve"> </v>
          </cell>
        </row>
        <row r="104">
          <cell r="C104" t="str">
            <v>Cf</v>
          </cell>
          <cell r="D104">
            <v>251</v>
          </cell>
          <cell r="E104" t="str">
            <v>AKTINIDA</v>
          </cell>
          <cell r="F104" t="str">
            <v xml:space="preserve"> </v>
          </cell>
        </row>
        <row r="105">
          <cell r="C105" t="str">
            <v>Es</v>
          </cell>
          <cell r="D105">
            <v>252</v>
          </cell>
          <cell r="E105" t="str">
            <v>AKTINIDA</v>
          </cell>
          <cell r="F105" t="str">
            <v xml:space="preserve"> </v>
          </cell>
        </row>
        <row r="106">
          <cell r="C106" t="str">
            <v>Fm</v>
          </cell>
          <cell r="D106">
            <v>257</v>
          </cell>
          <cell r="E106" t="str">
            <v>AKTINIDA</v>
          </cell>
          <cell r="F106" t="str">
            <v xml:space="preserve"> </v>
          </cell>
        </row>
        <row r="107">
          <cell r="C107" t="str">
            <v>Md</v>
          </cell>
          <cell r="D107">
            <v>258</v>
          </cell>
          <cell r="E107" t="str">
            <v>AKTINIDA</v>
          </cell>
          <cell r="F107" t="str">
            <v xml:space="preserve"> </v>
          </cell>
        </row>
        <row r="108">
          <cell r="C108" t="str">
            <v>No</v>
          </cell>
          <cell r="D108">
            <v>259</v>
          </cell>
          <cell r="E108" t="str">
            <v>AKTINIDA</v>
          </cell>
          <cell r="F108" t="str">
            <v xml:space="preserve"> </v>
          </cell>
        </row>
        <row r="109">
          <cell r="C109" t="str">
            <v>Lr</v>
          </cell>
          <cell r="D109">
            <v>262</v>
          </cell>
          <cell r="E109" t="str">
            <v>AKTINIDA</v>
          </cell>
          <cell r="F109" t="str">
            <v xml:space="preserve"> </v>
          </cell>
        </row>
        <row r="110">
          <cell r="C110" t="str">
            <v>Rf</v>
          </cell>
          <cell r="D110">
            <v>267</v>
          </cell>
          <cell r="E110" t="str">
            <v>3B</v>
          </cell>
          <cell r="F110">
            <v>7</v>
          </cell>
        </row>
        <row r="111">
          <cell r="C111" t="str">
            <v>Db</v>
          </cell>
          <cell r="D111">
            <v>268</v>
          </cell>
          <cell r="E111" t="str">
            <v>4B</v>
          </cell>
          <cell r="F111">
            <v>7</v>
          </cell>
        </row>
        <row r="112">
          <cell r="C112" t="str">
            <v>Sg</v>
          </cell>
          <cell r="D112">
            <v>269</v>
          </cell>
          <cell r="E112" t="str">
            <v>5B</v>
          </cell>
          <cell r="F112">
            <v>7</v>
          </cell>
        </row>
        <row r="113">
          <cell r="C113" t="str">
            <v>Bh</v>
          </cell>
          <cell r="D113">
            <v>270</v>
          </cell>
          <cell r="E113" t="str">
            <v>6B</v>
          </cell>
          <cell r="F113">
            <v>7</v>
          </cell>
        </row>
        <row r="114">
          <cell r="C114" t="str">
            <v>Hs</v>
          </cell>
          <cell r="D114">
            <v>269</v>
          </cell>
          <cell r="E114" t="str">
            <v>7B</v>
          </cell>
          <cell r="F114">
            <v>7</v>
          </cell>
        </row>
        <row r="115">
          <cell r="C115" t="str">
            <v>Mt</v>
          </cell>
          <cell r="D115">
            <v>278</v>
          </cell>
          <cell r="E115" t="str">
            <v>8B</v>
          </cell>
          <cell r="F115">
            <v>7</v>
          </cell>
        </row>
        <row r="116">
          <cell r="C116" t="str">
            <v>Ds</v>
          </cell>
          <cell r="D116">
            <v>281</v>
          </cell>
          <cell r="E116" t="str">
            <v>8B</v>
          </cell>
          <cell r="F116">
            <v>7</v>
          </cell>
        </row>
        <row r="117">
          <cell r="C117" t="str">
            <v>Rg</v>
          </cell>
          <cell r="D117">
            <v>280</v>
          </cell>
          <cell r="E117" t="str">
            <v>8B</v>
          </cell>
          <cell r="F117">
            <v>7</v>
          </cell>
        </row>
        <row r="118">
          <cell r="C118" t="str">
            <v>Cn</v>
          </cell>
          <cell r="D118">
            <v>285</v>
          </cell>
          <cell r="E118" t="str">
            <v>1B</v>
          </cell>
          <cell r="F118">
            <v>7</v>
          </cell>
        </row>
        <row r="119">
          <cell r="C119" t="str">
            <v>Nh</v>
          </cell>
          <cell r="D119">
            <v>286</v>
          </cell>
          <cell r="E119" t="str">
            <v>3A</v>
          </cell>
          <cell r="F119">
            <v>7</v>
          </cell>
        </row>
        <row r="120">
          <cell r="C120" t="str">
            <v>Fl</v>
          </cell>
          <cell r="D120">
            <v>289</v>
          </cell>
          <cell r="E120" t="str">
            <v>4A</v>
          </cell>
          <cell r="F120">
            <v>7</v>
          </cell>
        </row>
        <row r="121">
          <cell r="C121" t="str">
            <v>Mc</v>
          </cell>
          <cell r="D121">
            <v>289</v>
          </cell>
          <cell r="E121" t="str">
            <v>5A</v>
          </cell>
          <cell r="F121">
            <v>7</v>
          </cell>
        </row>
        <row r="122">
          <cell r="C122" t="str">
            <v>Lv</v>
          </cell>
          <cell r="D122">
            <v>293</v>
          </cell>
          <cell r="E122" t="str">
            <v>6A</v>
          </cell>
          <cell r="F122">
            <v>7</v>
          </cell>
        </row>
        <row r="123">
          <cell r="C123" t="str">
            <v>Ts</v>
          </cell>
          <cell r="D123">
            <v>294</v>
          </cell>
          <cell r="E123" t="str">
            <v>7A</v>
          </cell>
          <cell r="F123">
            <v>7</v>
          </cell>
        </row>
        <row r="124">
          <cell r="C124" t="str">
            <v>Og</v>
          </cell>
          <cell r="D124">
            <v>294</v>
          </cell>
          <cell r="E124" t="str">
            <v>8A</v>
          </cell>
          <cell r="F124">
            <v>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24"/>
  <sheetViews>
    <sheetView workbookViewId="0">
      <selection activeCell="I6" sqref="I6"/>
    </sheetView>
  </sheetViews>
  <sheetFormatPr defaultRowHeight="14.5" x14ac:dyDescent="0.35"/>
  <cols>
    <col min="2" max="2" width="12.1796875" customWidth="1"/>
    <col min="3" max="3" width="10" customWidth="1"/>
    <col min="4" max="4" width="17.26953125" bestFit="1" customWidth="1"/>
    <col min="5" max="5" width="11.453125" bestFit="1" customWidth="1"/>
    <col min="6" max="6" width="8" bestFit="1" customWidth="1"/>
    <col min="10" max="10" width="12.26953125" bestFit="1" customWidth="1"/>
    <col min="11" max="11" width="17.26953125" bestFit="1" customWidth="1"/>
    <col min="12" max="12" width="11.453125" customWidth="1"/>
    <col min="13" max="13" width="11.81640625" customWidth="1"/>
  </cols>
  <sheetData>
    <row r="2" spans="2:13" ht="15" thickBot="1" x14ac:dyDescent="0.4"/>
    <row r="3" spans="2:13" x14ac:dyDescent="0.35">
      <c r="B3" s="74" t="s">
        <v>58</v>
      </c>
      <c r="C3" s="75"/>
      <c r="D3" s="75"/>
      <c r="E3" s="75"/>
      <c r="F3" s="76"/>
      <c r="J3" s="74" t="s">
        <v>59</v>
      </c>
      <c r="K3" s="75"/>
      <c r="L3" s="75"/>
      <c r="M3" s="76"/>
    </row>
    <row r="4" spans="2:13" ht="15" thickBot="1" x14ac:dyDescent="0.4">
      <c r="B4" s="77"/>
      <c r="C4" s="78"/>
      <c r="D4" s="78"/>
      <c r="E4" s="78"/>
      <c r="F4" s="79"/>
      <c r="J4" s="77"/>
      <c r="K4" s="78"/>
      <c r="L4" s="78"/>
      <c r="M4" s="79"/>
    </row>
    <row r="5" spans="2:13" x14ac:dyDescent="0.35">
      <c r="J5" s="30"/>
      <c r="K5" s="30"/>
      <c r="L5" s="30"/>
      <c r="M5" s="30"/>
    </row>
    <row r="6" spans="2:13" ht="29" x14ac:dyDescent="0.35">
      <c r="B6" s="31" t="s">
        <v>60</v>
      </c>
      <c r="C6" s="32" t="s">
        <v>61</v>
      </c>
      <c r="D6" s="31" t="s">
        <v>62</v>
      </c>
      <c r="E6" s="31" t="s">
        <v>63</v>
      </c>
      <c r="F6" s="31" t="s">
        <v>64</v>
      </c>
      <c r="J6" s="32" t="s">
        <v>61</v>
      </c>
      <c r="K6" s="31" t="s">
        <v>62</v>
      </c>
      <c r="L6" s="31" t="s">
        <v>63</v>
      </c>
      <c r="M6" s="31" t="s">
        <v>64</v>
      </c>
    </row>
    <row r="7" spans="2:13" x14ac:dyDescent="0.35">
      <c r="B7" s="33">
        <v>1</v>
      </c>
      <c r="C7" s="33" t="s">
        <v>65</v>
      </c>
      <c r="D7" s="33">
        <v>1.0079400000000001</v>
      </c>
      <c r="E7" s="33" t="s">
        <v>66</v>
      </c>
      <c r="F7" s="33">
        <v>1</v>
      </c>
      <c r="J7" s="30" t="s">
        <v>1</v>
      </c>
      <c r="K7" s="30" t="str">
        <f>IFERROR(VLOOKUP(J7,C6:F124,2,FALSE),"unknown")</f>
        <v>unknown</v>
      </c>
      <c r="L7" s="30" t="str">
        <f>IFERROR(VLOOKUP(J7,C6:F124,3,FALSE),"unknown")</f>
        <v>unknown</v>
      </c>
      <c r="M7" s="30" t="str">
        <f>IFERROR(VLOOKUP(J7,C6:F124,4,FALSE),"unknown")</f>
        <v>unknown</v>
      </c>
    </row>
    <row r="8" spans="2:13" x14ac:dyDescent="0.35">
      <c r="B8" s="33">
        <v>2</v>
      </c>
      <c r="C8" s="33" t="s">
        <v>67</v>
      </c>
      <c r="D8" s="33">
        <v>4.0026000000000002</v>
      </c>
      <c r="E8" s="33" t="s">
        <v>68</v>
      </c>
      <c r="F8" s="33">
        <v>1</v>
      </c>
      <c r="J8" s="30" t="s">
        <v>1</v>
      </c>
      <c r="K8" s="30" t="str">
        <f t="shared" ref="K8:K71" si="0">IFERROR(VLOOKUP(J8,C7:F125,2,FALSE),"")</f>
        <v/>
      </c>
      <c r="L8" s="30" t="str">
        <f t="shared" ref="L8:L71" si="1">IFERROR(VLOOKUP(J8,C7:F125,3,FALSE),"")</f>
        <v/>
      </c>
      <c r="M8" s="30" t="str">
        <f t="shared" ref="M8:M71" si="2">IFERROR(VLOOKUP(J8,C7:F125,4,FALSE),"")</f>
        <v/>
      </c>
    </row>
    <row r="9" spans="2:13" x14ac:dyDescent="0.35">
      <c r="B9" s="33">
        <v>3</v>
      </c>
      <c r="C9" s="33" t="s">
        <v>69</v>
      </c>
      <c r="D9" s="33">
        <v>6.9409999999999998</v>
      </c>
      <c r="E9" s="33" t="s">
        <v>66</v>
      </c>
      <c r="F9" s="33">
        <v>2</v>
      </c>
      <c r="J9" s="30" t="s">
        <v>1</v>
      </c>
      <c r="K9" s="30" t="str">
        <f t="shared" si="0"/>
        <v/>
      </c>
      <c r="L9" s="30" t="str">
        <f t="shared" si="1"/>
        <v/>
      </c>
      <c r="M9" s="30" t="str">
        <f t="shared" si="2"/>
        <v/>
      </c>
    </row>
    <row r="10" spans="2:13" x14ac:dyDescent="0.35">
      <c r="B10" s="33">
        <v>4</v>
      </c>
      <c r="C10" s="33" t="s">
        <v>70</v>
      </c>
      <c r="D10" s="33">
        <v>9.0122</v>
      </c>
      <c r="E10" s="33" t="s">
        <v>71</v>
      </c>
      <c r="F10" s="33">
        <v>2</v>
      </c>
      <c r="J10" s="30" t="s">
        <v>1</v>
      </c>
      <c r="K10" s="30" t="str">
        <f t="shared" si="0"/>
        <v/>
      </c>
      <c r="L10" s="30" t="str">
        <f t="shared" si="1"/>
        <v/>
      </c>
      <c r="M10" s="30" t="str">
        <f t="shared" si="2"/>
        <v/>
      </c>
    </row>
    <row r="11" spans="2:13" x14ac:dyDescent="0.35">
      <c r="B11" s="33">
        <v>5</v>
      </c>
      <c r="C11" s="33" t="s">
        <v>72</v>
      </c>
      <c r="D11" s="33">
        <v>10.881</v>
      </c>
      <c r="E11" s="33" t="s">
        <v>73</v>
      </c>
      <c r="F11" s="33">
        <v>2</v>
      </c>
      <c r="J11" s="30"/>
      <c r="K11" s="30" t="str">
        <f t="shared" si="0"/>
        <v/>
      </c>
      <c r="L11" s="30" t="str">
        <f t="shared" si="1"/>
        <v/>
      </c>
      <c r="M11" s="30" t="str">
        <f t="shared" si="2"/>
        <v/>
      </c>
    </row>
    <row r="12" spans="2:13" x14ac:dyDescent="0.35">
      <c r="B12" s="33">
        <v>6</v>
      </c>
      <c r="C12" s="33" t="s">
        <v>74</v>
      </c>
      <c r="D12" s="33">
        <v>12.0107</v>
      </c>
      <c r="E12" s="33" t="s">
        <v>75</v>
      </c>
      <c r="F12" s="33">
        <v>2</v>
      </c>
      <c r="J12" s="30"/>
      <c r="K12" s="30"/>
      <c r="L12" s="30" t="str">
        <f t="shared" si="1"/>
        <v/>
      </c>
      <c r="M12" s="30" t="str">
        <f t="shared" si="2"/>
        <v/>
      </c>
    </row>
    <row r="13" spans="2:13" x14ac:dyDescent="0.35">
      <c r="B13" s="33">
        <v>7</v>
      </c>
      <c r="C13" s="33" t="s">
        <v>76</v>
      </c>
      <c r="D13" s="33">
        <v>14.0067</v>
      </c>
      <c r="E13" s="33" t="s">
        <v>77</v>
      </c>
      <c r="F13" s="33">
        <v>2</v>
      </c>
      <c r="J13" s="30"/>
      <c r="K13" s="30" t="str">
        <f t="shared" si="0"/>
        <v/>
      </c>
      <c r="L13" s="30" t="str">
        <f t="shared" si="1"/>
        <v/>
      </c>
      <c r="M13" s="30" t="str">
        <f t="shared" si="2"/>
        <v/>
      </c>
    </row>
    <row r="14" spans="2:13" x14ac:dyDescent="0.35">
      <c r="B14" s="33">
        <v>8</v>
      </c>
      <c r="C14" s="33" t="s">
        <v>78</v>
      </c>
      <c r="D14" s="33">
        <v>15.993</v>
      </c>
      <c r="E14" s="33" t="s">
        <v>79</v>
      </c>
      <c r="F14" s="33">
        <v>2</v>
      </c>
      <c r="J14" s="30"/>
      <c r="K14" s="30" t="str">
        <f t="shared" si="0"/>
        <v/>
      </c>
      <c r="L14" s="30" t="str">
        <f t="shared" si="1"/>
        <v/>
      </c>
      <c r="M14" s="30" t="str">
        <f t="shared" si="2"/>
        <v/>
      </c>
    </row>
    <row r="15" spans="2:13" x14ac:dyDescent="0.35">
      <c r="B15" s="33">
        <v>9</v>
      </c>
      <c r="C15" s="33" t="s">
        <v>80</v>
      </c>
      <c r="D15" s="33">
        <v>18.9984</v>
      </c>
      <c r="E15" s="33" t="s">
        <v>81</v>
      </c>
      <c r="F15" s="33">
        <v>2</v>
      </c>
      <c r="J15" s="30"/>
      <c r="K15" s="30" t="str">
        <f t="shared" si="0"/>
        <v/>
      </c>
      <c r="L15" s="30" t="str">
        <f t="shared" si="1"/>
        <v/>
      </c>
      <c r="M15" s="30" t="str">
        <f t="shared" si="2"/>
        <v/>
      </c>
    </row>
    <row r="16" spans="2:13" x14ac:dyDescent="0.35">
      <c r="B16" s="33">
        <v>10</v>
      </c>
      <c r="C16" s="33" t="s">
        <v>82</v>
      </c>
      <c r="D16" s="33">
        <v>20.1797</v>
      </c>
      <c r="E16" s="33" t="s">
        <v>68</v>
      </c>
      <c r="F16" s="33">
        <v>2</v>
      </c>
      <c r="J16" s="30"/>
      <c r="K16" s="30" t="str">
        <f t="shared" si="0"/>
        <v/>
      </c>
      <c r="L16" s="30" t="str">
        <f t="shared" si="1"/>
        <v/>
      </c>
      <c r="M16" s="30" t="str">
        <f t="shared" si="2"/>
        <v/>
      </c>
    </row>
    <row r="17" spans="2:13" x14ac:dyDescent="0.35">
      <c r="B17" s="33">
        <v>11</v>
      </c>
      <c r="C17" s="33" t="s">
        <v>83</v>
      </c>
      <c r="D17" s="33">
        <v>22.989799999999999</v>
      </c>
      <c r="E17" s="33" t="s">
        <v>66</v>
      </c>
      <c r="F17" s="33">
        <v>3</v>
      </c>
      <c r="J17" s="30"/>
      <c r="K17" s="30" t="str">
        <f t="shared" si="0"/>
        <v/>
      </c>
      <c r="L17" s="30" t="str">
        <f t="shared" si="1"/>
        <v/>
      </c>
      <c r="M17" s="30" t="str">
        <f t="shared" si="2"/>
        <v/>
      </c>
    </row>
    <row r="18" spans="2:13" x14ac:dyDescent="0.35">
      <c r="B18" s="33">
        <v>12</v>
      </c>
      <c r="C18" s="33" t="s">
        <v>84</v>
      </c>
      <c r="D18" s="33">
        <v>24.305</v>
      </c>
      <c r="E18" s="33" t="s">
        <v>71</v>
      </c>
      <c r="F18" s="33">
        <v>3</v>
      </c>
      <c r="J18" s="30"/>
      <c r="K18" s="30" t="str">
        <f t="shared" si="0"/>
        <v/>
      </c>
      <c r="L18" s="30" t="str">
        <f t="shared" si="1"/>
        <v/>
      </c>
      <c r="M18" s="30" t="str">
        <f t="shared" si="2"/>
        <v/>
      </c>
    </row>
    <row r="19" spans="2:13" x14ac:dyDescent="0.35">
      <c r="B19" s="33">
        <v>13</v>
      </c>
      <c r="C19" s="33" t="s">
        <v>85</v>
      </c>
      <c r="D19" s="33">
        <v>26.9815</v>
      </c>
      <c r="E19" s="33" t="s">
        <v>73</v>
      </c>
      <c r="F19" s="33">
        <v>3</v>
      </c>
      <c r="J19" s="30"/>
      <c r="K19" s="30" t="str">
        <f t="shared" si="0"/>
        <v/>
      </c>
      <c r="L19" s="30" t="str">
        <f t="shared" si="1"/>
        <v/>
      </c>
      <c r="M19" s="30" t="str">
        <f t="shared" si="2"/>
        <v/>
      </c>
    </row>
    <row r="20" spans="2:13" x14ac:dyDescent="0.35">
      <c r="B20" s="33">
        <v>14</v>
      </c>
      <c r="C20" s="33" t="s">
        <v>86</v>
      </c>
      <c r="D20" s="33">
        <v>28.055</v>
      </c>
      <c r="E20" s="33" t="s">
        <v>75</v>
      </c>
      <c r="F20" s="33">
        <v>3</v>
      </c>
      <c r="J20" s="30"/>
      <c r="K20" s="30" t="str">
        <f t="shared" si="0"/>
        <v/>
      </c>
      <c r="L20" s="30" t="str">
        <f t="shared" si="1"/>
        <v/>
      </c>
      <c r="M20" s="30" t="str">
        <f t="shared" si="2"/>
        <v/>
      </c>
    </row>
    <row r="21" spans="2:13" x14ac:dyDescent="0.35">
      <c r="B21" s="33">
        <v>15</v>
      </c>
      <c r="C21" s="33" t="s">
        <v>87</v>
      </c>
      <c r="D21" s="33">
        <v>30.973800000000001</v>
      </c>
      <c r="E21" s="33" t="s">
        <v>77</v>
      </c>
      <c r="F21" s="33">
        <v>3</v>
      </c>
      <c r="J21" s="30"/>
      <c r="K21" s="30" t="str">
        <f t="shared" si="0"/>
        <v/>
      </c>
      <c r="L21" s="30" t="str">
        <f t="shared" si="1"/>
        <v/>
      </c>
      <c r="M21" s="30" t="str">
        <f t="shared" si="2"/>
        <v/>
      </c>
    </row>
    <row r="22" spans="2:13" x14ac:dyDescent="0.35">
      <c r="B22" s="33">
        <v>16</v>
      </c>
      <c r="C22" s="33" t="s">
        <v>88</v>
      </c>
      <c r="D22" s="33">
        <v>32.064999999999998</v>
      </c>
      <c r="E22" s="33" t="s">
        <v>79</v>
      </c>
      <c r="F22" s="33">
        <v>3</v>
      </c>
      <c r="J22" s="30"/>
      <c r="K22" s="30" t="str">
        <f t="shared" si="0"/>
        <v/>
      </c>
      <c r="L22" s="30" t="str">
        <f t="shared" si="1"/>
        <v/>
      </c>
      <c r="M22" s="30" t="str">
        <f t="shared" si="2"/>
        <v/>
      </c>
    </row>
    <row r="23" spans="2:13" x14ac:dyDescent="0.35">
      <c r="B23" s="33">
        <v>17</v>
      </c>
      <c r="C23" s="33" t="s">
        <v>89</v>
      </c>
      <c r="D23" s="33">
        <v>35.4527</v>
      </c>
      <c r="E23" s="33" t="s">
        <v>81</v>
      </c>
      <c r="F23" s="33">
        <v>3</v>
      </c>
      <c r="J23" s="30"/>
      <c r="K23" s="30" t="str">
        <f t="shared" si="0"/>
        <v/>
      </c>
      <c r="L23" s="30" t="str">
        <f t="shared" si="1"/>
        <v/>
      </c>
      <c r="M23" s="30" t="str">
        <f t="shared" si="2"/>
        <v/>
      </c>
    </row>
    <row r="24" spans="2:13" x14ac:dyDescent="0.35">
      <c r="B24" s="33">
        <v>18</v>
      </c>
      <c r="C24" s="33" t="s">
        <v>90</v>
      </c>
      <c r="D24" s="33">
        <v>39.948</v>
      </c>
      <c r="E24" s="33" t="s">
        <v>68</v>
      </c>
      <c r="F24" s="33">
        <v>3</v>
      </c>
      <c r="J24" s="30"/>
      <c r="K24" s="30" t="str">
        <f t="shared" si="0"/>
        <v/>
      </c>
      <c r="L24" s="30" t="str">
        <f t="shared" si="1"/>
        <v/>
      </c>
      <c r="M24" s="30" t="str">
        <f t="shared" si="2"/>
        <v/>
      </c>
    </row>
    <row r="25" spans="2:13" x14ac:dyDescent="0.35">
      <c r="B25" s="33">
        <v>19</v>
      </c>
      <c r="C25" s="33" t="s">
        <v>91</v>
      </c>
      <c r="D25" s="33">
        <v>39.098300000000002</v>
      </c>
      <c r="E25" s="33" t="s">
        <v>66</v>
      </c>
      <c r="F25" s="33">
        <v>4</v>
      </c>
      <c r="J25" s="30"/>
      <c r="K25" s="30" t="str">
        <f t="shared" si="0"/>
        <v/>
      </c>
      <c r="L25" s="30" t="str">
        <f t="shared" si="1"/>
        <v/>
      </c>
      <c r="M25" s="30" t="str">
        <f t="shared" si="2"/>
        <v/>
      </c>
    </row>
    <row r="26" spans="2:13" x14ac:dyDescent="0.35">
      <c r="B26" s="33">
        <v>20</v>
      </c>
      <c r="C26" s="33" t="s">
        <v>92</v>
      </c>
      <c r="D26" s="33">
        <v>40.078000000000003</v>
      </c>
      <c r="E26" s="33" t="s">
        <v>71</v>
      </c>
      <c r="F26" s="33">
        <v>4</v>
      </c>
      <c r="J26" s="30"/>
      <c r="K26" s="30" t="str">
        <f t="shared" si="0"/>
        <v/>
      </c>
      <c r="L26" s="30" t="str">
        <f t="shared" si="1"/>
        <v/>
      </c>
      <c r="M26" s="30" t="str">
        <f t="shared" si="2"/>
        <v/>
      </c>
    </row>
    <row r="27" spans="2:13" x14ac:dyDescent="0.35">
      <c r="B27" s="33">
        <v>21</v>
      </c>
      <c r="C27" s="33" t="s">
        <v>93</v>
      </c>
      <c r="D27" s="33">
        <v>44.9559</v>
      </c>
      <c r="E27" s="33" t="s">
        <v>94</v>
      </c>
      <c r="F27" s="33">
        <v>4</v>
      </c>
      <c r="J27" s="30"/>
      <c r="K27" s="30" t="str">
        <f t="shared" si="0"/>
        <v/>
      </c>
      <c r="L27" s="30" t="str">
        <f t="shared" si="1"/>
        <v/>
      </c>
      <c r="M27" s="30" t="str">
        <f t="shared" si="2"/>
        <v/>
      </c>
    </row>
    <row r="28" spans="2:13" x14ac:dyDescent="0.35">
      <c r="B28" s="33">
        <v>22</v>
      </c>
      <c r="C28" s="33" t="s">
        <v>95</v>
      </c>
      <c r="D28" s="33">
        <v>47.67</v>
      </c>
      <c r="E28" s="33" t="s">
        <v>96</v>
      </c>
      <c r="F28" s="33">
        <v>4</v>
      </c>
      <c r="J28" s="30"/>
      <c r="K28" s="30" t="str">
        <f t="shared" si="0"/>
        <v/>
      </c>
      <c r="L28" s="30" t="str">
        <f t="shared" si="1"/>
        <v/>
      </c>
      <c r="M28" s="30" t="str">
        <f t="shared" si="2"/>
        <v/>
      </c>
    </row>
    <row r="29" spans="2:13" x14ac:dyDescent="0.35">
      <c r="B29" s="33">
        <v>23</v>
      </c>
      <c r="C29" s="33" t="s">
        <v>97</v>
      </c>
      <c r="D29" s="33">
        <v>50.941499999999998</v>
      </c>
      <c r="E29" s="33" t="s">
        <v>98</v>
      </c>
      <c r="F29" s="33">
        <v>4</v>
      </c>
      <c r="J29" s="30"/>
      <c r="K29" s="30" t="str">
        <f t="shared" si="0"/>
        <v/>
      </c>
      <c r="L29" s="30" t="str">
        <f t="shared" si="1"/>
        <v/>
      </c>
      <c r="M29" s="30" t="str">
        <f t="shared" si="2"/>
        <v/>
      </c>
    </row>
    <row r="30" spans="2:13" x14ac:dyDescent="0.35">
      <c r="B30" s="33">
        <v>24</v>
      </c>
      <c r="C30" s="33" t="s">
        <v>99</v>
      </c>
      <c r="D30" s="33">
        <v>51.996099999999998</v>
      </c>
      <c r="E30" s="33" t="s">
        <v>100</v>
      </c>
      <c r="F30" s="33">
        <v>4</v>
      </c>
      <c r="J30" s="30"/>
      <c r="K30" s="30" t="str">
        <f t="shared" si="0"/>
        <v/>
      </c>
      <c r="L30" s="30" t="str">
        <f t="shared" si="1"/>
        <v/>
      </c>
      <c r="M30" s="30" t="str">
        <f t="shared" si="2"/>
        <v/>
      </c>
    </row>
    <row r="31" spans="2:13" x14ac:dyDescent="0.35">
      <c r="B31" s="33">
        <v>25</v>
      </c>
      <c r="C31" s="33" t="s">
        <v>101</v>
      </c>
      <c r="D31" s="33">
        <v>54.938000000000002</v>
      </c>
      <c r="E31" s="33" t="s">
        <v>102</v>
      </c>
      <c r="F31" s="33">
        <v>4</v>
      </c>
      <c r="J31" s="30"/>
      <c r="K31" s="30" t="str">
        <f t="shared" si="0"/>
        <v/>
      </c>
      <c r="L31" s="30" t="str">
        <f t="shared" si="1"/>
        <v/>
      </c>
      <c r="M31" s="30" t="str">
        <f t="shared" si="2"/>
        <v/>
      </c>
    </row>
    <row r="32" spans="2:13" x14ac:dyDescent="0.35">
      <c r="B32" s="33">
        <v>26</v>
      </c>
      <c r="C32" s="33" t="s">
        <v>103</v>
      </c>
      <c r="D32" s="33">
        <v>55.844999999999999</v>
      </c>
      <c r="E32" s="33" t="s">
        <v>104</v>
      </c>
      <c r="F32" s="33">
        <v>4</v>
      </c>
      <c r="J32" s="30"/>
      <c r="K32" s="30" t="str">
        <f t="shared" si="0"/>
        <v/>
      </c>
      <c r="L32" s="30" t="str">
        <f t="shared" si="1"/>
        <v/>
      </c>
      <c r="M32" s="30" t="str">
        <f t="shared" si="2"/>
        <v/>
      </c>
    </row>
    <row r="33" spans="2:13" x14ac:dyDescent="0.35">
      <c r="B33" s="33">
        <v>27</v>
      </c>
      <c r="C33" s="33" t="s">
        <v>105</v>
      </c>
      <c r="D33" s="33">
        <v>58.933199999999999</v>
      </c>
      <c r="E33" s="33" t="s">
        <v>104</v>
      </c>
      <c r="F33" s="33">
        <v>4</v>
      </c>
      <c r="J33" s="30"/>
      <c r="K33" s="30" t="str">
        <f t="shared" si="0"/>
        <v/>
      </c>
      <c r="L33" s="30" t="str">
        <f t="shared" si="1"/>
        <v/>
      </c>
      <c r="M33" s="30" t="str">
        <f t="shared" si="2"/>
        <v/>
      </c>
    </row>
    <row r="34" spans="2:13" x14ac:dyDescent="0.35">
      <c r="B34" s="33">
        <v>28</v>
      </c>
      <c r="C34" s="33" t="s">
        <v>106</v>
      </c>
      <c r="D34" s="33">
        <v>58.693399999999997</v>
      </c>
      <c r="E34" s="33" t="s">
        <v>104</v>
      </c>
      <c r="F34" s="33">
        <v>4</v>
      </c>
      <c r="K34" t="str">
        <f t="shared" si="0"/>
        <v/>
      </c>
      <c r="L34" t="str">
        <f t="shared" si="1"/>
        <v/>
      </c>
      <c r="M34" t="str">
        <f t="shared" si="2"/>
        <v/>
      </c>
    </row>
    <row r="35" spans="2:13" x14ac:dyDescent="0.35">
      <c r="B35" s="33">
        <v>29</v>
      </c>
      <c r="C35" s="33" t="s">
        <v>107</v>
      </c>
      <c r="D35" s="33">
        <v>63.545999999999999</v>
      </c>
      <c r="E35" s="33" t="s">
        <v>108</v>
      </c>
      <c r="F35" s="33">
        <v>4</v>
      </c>
      <c r="K35" t="str">
        <f t="shared" si="0"/>
        <v/>
      </c>
      <c r="L35" t="str">
        <f t="shared" si="1"/>
        <v/>
      </c>
      <c r="M35" t="str">
        <f t="shared" si="2"/>
        <v/>
      </c>
    </row>
    <row r="36" spans="2:13" x14ac:dyDescent="0.35">
      <c r="B36" s="33">
        <v>30</v>
      </c>
      <c r="C36" s="33" t="s">
        <v>109</v>
      </c>
      <c r="D36" s="33">
        <v>65.409000000000006</v>
      </c>
      <c r="E36" s="33" t="s">
        <v>110</v>
      </c>
      <c r="F36" s="33">
        <v>4</v>
      </c>
      <c r="K36" t="str">
        <f t="shared" si="0"/>
        <v/>
      </c>
      <c r="L36" t="str">
        <f t="shared" si="1"/>
        <v/>
      </c>
      <c r="M36" t="str">
        <f t="shared" si="2"/>
        <v/>
      </c>
    </row>
    <row r="37" spans="2:13" x14ac:dyDescent="0.35">
      <c r="B37" s="33">
        <v>31</v>
      </c>
      <c r="C37" s="33" t="s">
        <v>111</v>
      </c>
      <c r="D37" s="33">
        <v>69.722999999999999</v>
      </c>
      <c r="E37" s="33" t="s">
        <v>73</v>
      </c>
      <c r="F37" s="33">
        <v>4</v>
      </c>
      <c r="K37" t="str">
        <f t="shared" si="0"/>
        <v/>
      </c>
      <c r="L37" t="str">
        <f t="shared" si="1"/>
        <v/>
      </c>
      <c r="M37" t="str">
        <f t="shared" si="2"/>
        <v/>
      </c>
    </row>
    <row r="38" spans="2:13" x14ac:dyDescent="0.35">
      <c r="B38" s="33">
        <v>32</v>
      </c>
      <c r="C38" s="33" t="s">
        <v>112</v>
      </c>
      <c r="D38" s="33">
        <v>72.64</v>
      </c>
      <c r="E38" s="33" t="s">
        <v>75</v>
      </c>
      <c r="F38" s="33">
        <v>4</v>
      </c>
      <c r="K38" t="str">
        <f t="shared" si="0"/>
        <v/>
      </c>
      <c r="L38" t="str">
        <f t="shared" si="1"/>
        <v/>
      </c>
      <c r="M38" t="str">
        <f t="shared" si="2"/>
        <v/>
      </c>
    </row>
    <row r="39" spans="2:13" x14ac:dyDescent="0.35">
      <c r="B39" s="33">
        <v>33</v>
      </c>
      <c r="C39" s="33" t="s">
        <v>113</v>
      </c>
      <c r="D39" s="33">
        <v>74.921599999999998</v>
      </c>
      <c r="E39" s="33" t="s">
        <v>77</v>
      </c>
      <c r="F39" s="33">
        <v>4</v>
      </c>
      <c r="K39" t="str">
        <f t="shared" si="0"/>
        <v/>
      </c>
      <c r="L39" t="str">
        <f t="shared" si="1"/>
        <v/>
      </c>
      <c r="M39" t="str">
        <f t="shared" si="2"/>
        <v/>
      </c>
    </row>
    <row r="40" spans="2:13" x14ac:dyDescent="0.35">
      <c r="B40" s="33">
        <v>34</v>
      </c>
      <c r="C40" s="33" t="s">
        <v>114</v>
      </c>
      <c r="D40" s="33">
        <v>78.959999999999994</v>
      </c>
      <c r="E40" s="33" t="s">
        <v>79</v>
      </c>
      <c r="F40" s="33">
        <v>4</v>
      </c>
      <c r="K40" t="str">
        <f t="shared" si="0"/>
        <v/>
      </c>
      <c r="L40" t="str">
        <f t="shared" si="1"/>
        <v/>
      </c>
      <c r="M40" t="str">
        <f t="shared" si="2"/>
        <v/>
      </c>
    </row>
    <row r="41" spans="2:13" x14ac:dyDescent="0.35">
      <c r="B41" s="33">
        <v>35</v>
      </c>
      <c r="C41" s="33" t="s">
        <v>115</v>
      </c>
      <c r="D41" s="33">
        <v>79.903999999999996</v>
      </c>
      <c r="E41" s="33" t="s">
        <v>81</v>
      </c>
      <c r="F41" s="33">
        <v>4</v>
      </c>
      <c r="K41" t="str">
        <f t="shared" si="0"/>
        <v/>
      </c>
      <c r="L41" t="str">
        <f t="shared" si="1"/>
        <v/>
      </c>
      <c r="M41" t="str">
        <f t="shared" si="2"/>
        <v/>
      </c>
    </row>
    <row r="42" spans="2:13" x14ac:dyDescent="0.35">
      <c r="B42" s="33">
        <v>36</v>
      </c>
      <c r="C42" s="33" t="s">
        <v>116</v>
      </c>
      <c r="D42" s="33">
        <v>83.8</v>
      </c>
      <c r="E42" s="33" t="s">
        <v>68</v>
      </c>
      <c r="F42" s="33">
        <v>4</v>
      </c>
      <c r="K42" t="str">
        <f t="shared" si="0"/>
        <v/>
      </c>
      <c r="L42" t="str">
        <f t="shared" si="1"/>
        <v/>
      </c>
      <c r="M42" t="str">
        <f t="shared" si="2"/>
        <v/>
      </c>
    </row>
    <row r="43" spans="2:13" x14ac:dyDescent="0.35">
      <c r="B43" s="33">
        <v>37</v>
      </c>
      <c r="C43" s="33" t="s">
        <v>117</v>
      </c>
      <c r="D43" s="33">
        <v>85.467799999999997</v>
      </c>
      <c r="E43" s="33" t="s">
        <v>66</v>
      </c>
      <c r="F43" s="33">
        <v>5</v>
      </c>
      <c r="K43" t="str">
        <f t="shared" si="0"/>
        <v/>
      </c>
      <c r="L43" t="str">
        <f t="shared" si="1"/>
        <v/>
      </c>
      <c r="M43" t="str">
        <f t="shared" si="2"/>
        <v/>
      </c>
    </row>
    <row r="44" spans="2:13" x14ac:dyDescent="0.35">
      <c r="B44" s="33">
        <v>38</v>
      </c>
      <c r="C44" s="33" t="s">
        <v>118</v>
      </c>
      <c r="D44" s="33">
        <v>87.62</v>
      </c>
      <c r="E44" s="33" t="s">
        <v>71</v>
      </c>
      <c r="F44" s="33">
        <v>5</v>
      </c>
      <c r="K44" t="str">
        <f t="shared" si="0"/>
        <v/>
      </c>
      <c r="L44" t="str">
        <f t="shared" si="1"/>
        <v/>
      </c>
      <c r="M44" t="str">
        <f t="shared" si="2"/>
        <v/>
      </c>
    </row>
    <row r="45" spans="2:13" x14ac:dyDescent="0.35">
      <c r="B45" s="33">
        <v>39</v>
      </c>
      <c r="C45" s="33" t="s">
        <v>119</v>
      </c>
      <c r="D45" s="33">
        <v>88.905850000000001</v>
      </c>
      <c r="E45" s="33" t="s">
        <v>94</v>
      </c>
      <c r="F45" s="33">
        <v>5</v>
      </c>
      <c r="K45" t="str">
        <f t="shared" si="0"/>
        <v/>
      </c>
      <c r="L45" t="str">
        <f t="shared" si="1"/>
        <v/>
      </c>
      <c r="M45" t="str">
        <f t="shared" si="2"/>
        <v/>
      </c>
    </row>
    <row r="46" spans="2:13" x14ac:dyDescent="0.35">
      <c r="B46" s="33">
        <v>40</v>
      </c>
      <c r="C46" s="33" t="s">
        <v>120</v>
      </c>
      <c r="D46" s="33">
        <v>91.224000000000004</v>
      </c>
      <c r="E46" s="33" t="s">
        <v>96</v>
      </c>
      <c r="F46" s="33">
        <v>5</v>
      </c>
      <c r="K46" t="str">
        <f t="shared" si="0"/>
        <v/>
      </c>
      <c r="L46" t="str">
        <f t="shared" si="1"/>
        <v/>
      </c>
      <c r="M46" t="str">
        <f t="shared" si="2"/>
        <v/>
      </c>
    </row>
    <row r="47" spans="2:13" x14ac:dyDescent="0.35">
      <c r="B47" s="33">
        <v>41</v>
      </c>
      <c r="C47" s="33" t="s">
        <v>121</v>
      </c>
      <c r="D47" s="33">
        <v>92.906379999999999</v>
      </c>
      <c r="E47" s="33" t="s">
        <v>98</v>
      </c>
      <c r="F47" s="33">
        <v>5</v>
      </c>
      <c r="K47" t="str">
        <f t="shared" si="0"/>
        <v/>
      </c>
      <c r="L47" t="str">
        <f t="shared" si="1"/>
        <v/>
      </c>
      <c r="M47" t="str">
        <f t="shared" si="2"/>
        <v/>
      </c>
    </row>
    <row r="48" spans="2:13" x14ac:dyDescent="0.35">
      <c r="B48" s="33">
        <v>42</v>
      </c>
      <c r="C48" s="33" t="s">
        <v>122</v>
      </c>
      <c r="D48" s="33">
        <v>95.94</v>
      </c>
      <c r="E48" s="33" t="s">
        <v>100</v>
      </c>
      <c r="F48" s="33">
        <v>5</v>
      </c>
      <c r="K48" t="str">
        <f t="shared" si="0"/>
        <v/>
      </c>
      <c r="L48" t="str">
        <f t="shared" si="1"/>
        <v/>
      </c>
      <c r="M48" t="str">
        <f t="shared" si="2"/>
        <v/>
      </c>
    </row>
    <row r="49" spans="2:13" x14ac:dyDescent="0.35">
      <c r="B49" s="33">
        <v>43</v>
      </c>
      <c r="C49" s="33" t="s">
        <v>123</v>
      </c>
      <c r="D49" s="33">
        <v>98</v>
      </c>
      <c r="E49" s="33" t="s">
        <v>102</v>
      </c>
      <c r="F49" s="33">
        <v>5</v>
      </c>
      <c r="K49" t="str">
        <f t="shared" si="0"/>
        <v/>
      </c>
      <c r="L49" t="str">
        <f t="shared" si="1"/>
        <v/>
      </c>
      <c r="M49" t="str">
        <f t="shared" si="2"/>
        <v/>
      </c>
    </row>
    <row r="50" spans="2:13" x14ac:dyDescent="0.35">
      <c r="B50" s="33">
        <v>44</v>
      </c>
      <c r="C50" s="33" t="s">
        <v>124</v>
      </c>
      <c r="D50" s="33">
        <v>101.07</v>
      </c>
      <c r="E50" s="33" t="s">
        <v>104</v>
      </c>
      <c r="F50" s="33">
        <v>5</v>
      </c>
      <c r="K50" t="str">
        <f t="shared" si="0"/>
        <v/>
      </c>
      <c r="L50" t="str">
        <f t="shared" si="1"/>
        <v/>
      </c>
      <c r="M50" t="str">
        <f t="shared" si="2"/>
        <v/>
      </c>
    </row>
    <row r="51" spans="2:13" x14ac:dyDescent="0.35">
      <c r="B51" s="33">
        <v>45</v>
      </c>
      <c r="C51" s="33" t="s">
        <v>125</v>
      </c>
      <c r="D51" s="33">
        <v>102.9055</v>
      </c>
      <c r="E51" s="33" t="s">
        <v>104</v>
      </c>
      <c r="F51" s="33">
        <v>5</v>
      </c>
      <c r="K51" t="str">
        <f t="shared" si="0"/>
        <v/>
      </c>
      <c r="L51" t="str">
        <f t="shared" si="1"/>
        <v/>
      </c>
      <c r="M51" t="str">
        <f t="shared" si="2"/>
        <v/>
      </c>
    </row>
    <row r="52" spans="2:13" x14ac:dyDescent="0.35">
      <c r="B52" s="33">
        <v>46</v>
      </c>
      <c r="C52" s="33" t="s">
        <v>126</v>
      </c>
      <c r="D52" s="33">
        <v>106.42</v>
      </c>
      <c r="E52" s="33" t="s">
        <v>104</v>
      </c>
      <c r="F52" s="33">
        <v>5</v>
      </c>
      <c r="K52" t="str">
        <f t="shared" si="0"/>
        <v/>
      </c>
      <c r="L52" t="str">
        <f t="shared" si="1"/>
        <v/>
      </c>
      <c r="M52" t="str">
        <f t="shared" si="2"/>
        <v/>
      </c>
    </row>
    <row r="53" spans="2:13" x14ac:dyDescent="0.35">
      <c r="B53" s="33">
        <v>47</v>
      </c>
      <c r="C53" s="33" t="s">
        <v>127</v>
      </c>
      <c r="D53" s="33">
        <v>107.8082</v>
      </c>
      <c r="E53" s="33" t="s">
        <v>108</v>
      </c>
      <c r="F53" s="33">
        <v>5</v>
      </c>
      <c r="K53" t="str">
        <f t="shared" si="0"/>
        <v/>
      </c>
      <c r="L53" t="str">
        <f t="shared" si="1"/>
        <v/>
      </c>
      <c r="M53" t="str">
        <f t="shared" si="2"/>
        <v/>
      </c>
    </row>
    <row r="54" spans="2:13" x14ac:dyDescent="0.35">
      <c r="B54" s="33">
        <v>48</v>
      </c>
      <c r="C54" s="33" t="s">
        <v>128</v>
      </c>
      <c r="D54" s="33">
        <v>112.411</v>
      </c>
      <c r="E54" s="33" t="s">
        <v>110</v>
      </c>
      <c r="F54" s="33">
        <v>5</v>
      </c>
      <c r="K54" t="str">
        <f t="shared" si="0"/>
        <v/>
      </c>
      <c r="L54" t="str">
        <f t="shared" si="1"/>
        <v/>
      </c>
      <c r="M54" t="str">
        <f t="shared" si="2"/>
        <v/>
      </c>
    </row>
    <row r="55" spans="2:13" x14ac:dyDescent="0.35">
      <c r="B55" s="33">
        <v>49</v>
      </c>
      <c r="C55" s="33" t="s">
        <v>129</v>
      </c>
      <c r="D55" s="33">
        <v>114.818</v>
      </c>
      <c r="E55" s="33" t="s">
        <v>73</v>
      </c>
      <c r="F55" s="33">
        <v>5</v>
      </c>
      <c r="K55" t="str">
        <f t="shared" si="0"/>
        <v/>
      </c>
      <c r="L55" t="str">
        <f t="shared" si="1"/>
        <v/>
      </c>
      <c r="M55" t="str">
        <f t="shared" si="2"/>
        <v/>
      </c>
    </row>
    <row r="56" spans="2:13" x14ac:dyDescent="0.35">
      <c r="B56" s="33">
        <v>50</v>
      </c>
      <c r="C56" s="33" t="s">
        <v>130</v>
      </c>
      <c r="D56" s="33">
        <v>118.71</v>
      </c>
      <c r="E56" s="33" t="s">
        <v>75</v>
      </c>
      <c r="F56" s="33">
        <v>5</v>
      </c>
      <c r="K56" t="str">
        <f t="shared" si="0"/>
        <v/>
      </c>
      <c r="L56" t="str">
        <f t="shared" si="1"/>
        <v/>
      </c>
      <c r="M56" t="str">
        <f t="shared" si="2"/>
        <v/>
      </c>
    </row>
    <row r="57" spans="2:13" x14ac:dyDescent="0.35">
      <c r="B57" s="33">
        <v>51</v>
      </c>
      <c r="C57" s="33" t="s">
        <v>131</v>
      </c>
      <c r="D57" s="33">
        <v>121.76</v>
      </c>
      <c r="E57" s="33" t="s">
        <v>77</v>
      </c>
      <c r="F57" s="33">
        <v>5</v>
      </c>
      <c r="K57" t="str">
        <f t="shared" si="0"/>
        <v/>
      </c>
      <c r="L57" t="str">
        <f t="shared" si="1"/>
        <v/>
      </c>
      <c r="M57" t="str">
        <f t="shared" si="2"/>
        <v/>
      </c>
    </row>
    <row r="58" spans="2:13" x14ac:dyDescent="0.35">
      <c r="B58" s="33">
        <v>52</v>
      </c>
      <c r="C58" s="33" t="s">
        <v>132</v>
      </c>
      <c r="D58" s="33">
        <v>127.6</v>
      </c>
      <c r="E58" s="33" t="s">
        <v>79</v>
      </c>
      <c r="F58" s="33">
        <v>5</v>
      </c>
      <c r="K58" t="str">
        <f t="shared" si="0"/>
        <v/>
      </c>
      <c r="L58" t="str">
        <f t="shared" si="1"/>
        <v/>
      </c>
      <c r="M58" t="str">
        <f t="shared" si="2"/>
        <v/>
      </c>
    </row>
    <row r="59" spans="2:13" x14ac:dyDescent="0.35">
      <c r="B59" s="33">
        <v>53</v>
      </c>
      <c r="C59" s="33" t="s">
        <v>133</v>
      </c>
      <c r="D59" s="33">
        <v>126.9045</v>
      </c>
      <c r="E59" s="33" t="s">
        <v>81</v>
      </c>
      <c r="F59" s="33">
        <v>5</v>
      </c>
      <c r="K59" t="str">
        <f t="shared" si="0"/>
        <v/>
      </c>
      <c r="L59" t="str">
        <f t="shared" si="1"/>
        <v/>
      </c>
      <c r="M59" t="str">
        <f t="shared" si="2"/>
        <v/>
      </c>
    </row>
    <row r="60" spans="2:13" x14ac:dyDescent="0.35">
      <c r="B60" s="33">
        <v>54</v>
      </c>
      <c r="C60" s="33" t="s">
        <v>134</v>
      </c>
      <c r="D60" s="33">
        <v>131.29300000000001</v>
      </c>
      <c r="E60" s="33" t="s">
        <v>68</v>
      </c>
      <c r="F60" s="33">
        <v>5</v>
      </c>
      <c r="K60" t="str">
        <f t="shared" si="0"/>
        <v/>
      </c>
      <c r="L60" t="str">
        <f t="shared" si="1"/>
        <v/>
      </c>
      <c r="M60" t="str">
        <f t="shared" si="2"/>
        <v/>
      </c>
    </row>
    <row r="61" spans="2:13" x14ac:dyDescent="0.35">
      <c r="B61" s="33">
        <v>55</v>
      </c>
      <c r="C61" s="33" t="s">
        <v>135</v>
      </c>
      <c r="D61" s="33">
        <v>132.90549999999999</v>
      </c>
      <c r="E61" s="33" t="s">
        <v>66</v>
      </c>
      <c r="F61" s="33">
        <v>6</v>
      </c>
      <c r="K61" t="str">
        <f t="shared" si="0"/>
        <v/>
      </c>
      <c r="L61" t="str">
        <f t="shared" si="1"/>
        <v/>
      </c>
      <c r="M61" t="str">
        <f t="shared" si="2"/>
        <v/>
      </c>
    </row>
    <row r="62" spans="2:13" x14ac:dyDescent="0.35">
      <c r="B62" s="33">
        <v>56</v>
      </c>
      <c r="C62" s="33" t="s">
        <v>136</v>
      </c>
      <c r="D62" s="33">
        <v>137.327</v>
      </c>
      <c r="E62" s="33" t="s">
        <v>71</v>
      </c>
      <c r="F62" s="33">
        <v>6</v>
      </c>
      <c r="K62" t="str">
        <f t="shared" si="0"/>
        <v/>
      </c>
      <c r="L62" t="str">
        <f t="shared" si="1"/>
        <v/>
      </c>
      <c r="M62" t="str">
        <f t="shared" si="2"/>
        <v/>
      </c>
    </row>
    <row r="63" spans="2:13" x14ac:dyDescent="0.35">
      <c r="B63" s="33">
        <v>57</v>
      </c>
      <c r="C63" s="33" t="s">
        <v>137</v>
      </c>
      <c r="D63" s="33">
        <v>138.90549999999999</v>
      </c>
      <c r="E63" s="33" t="s">
        <v>94</v>
      </c>
      <c r="F63" s="33">
        <v>6</v>
      </c>
      <c r="K63" t="str">
        <f t="shared" si="0"/>
        <v/>
      </c>
      <c r="L63" t="str">
        <f t="shared" si="1"/>
        <v/>
      </c>
      <c r="M63" t="str">
        <f t="shared" si="2"/>
        <v/>
      </c>
    </row>
    <row r="64" spans="2:13" x14ac:dyDescent="0.35">
      <c r="B64" s="33">
        <v>58</v>
      </c>
      <c r="C64" s="33" t="s">
        <v>138</v>
      </c>
      <c r="D64" s="33">
        <v>140.11600000000001</v>
      </c>
      <c r="E64" s="33" t="s">
        <v>139</v>
      </c>
      <c r="F64" s="33" t="s">
        <v>1</v>
      </c>
      <c r="K64" t="str">
        <f t="shared" si="0"/>
        <v/>
      </c>
      <c r="L64" t="str">
        <f t="shared" si="1"/>
        <v/>
      </c>
      <c r="M64" t="str">
        <f t="shared" si="2"/>
        <v/>
      </c>
    </row>
    <row r="65" spans="2:13" x14ac:dyDescent="0.35">
      <c r="B65" s="33">
        <v>59</v>
      </c>
      <c r="C65" s="33" t="s">
        <v>140</v>
      </c>
      <c r="D65" s="33">
        <v>140.90770000000001</v>
      </c>
      <c r="E65" s="33" t="s">
        <v>139</v>
      </c>
      <c r="F65" s="33" t="s">
        <v>1</v>
      </c>
      <c r="K65" t="str">
        <f t="shared" si="0"/>
        <v/>
      </c>
      <c r="L65" t="str">
        <f t="shared" si="1"/>
        <v/>
      </c>
      <c r="M65" t="str">
        <f t="shared" si="2"/>
        <v/>
      </c>
    </row>
    <row r="66" spans="2:13" x14ac:dyDescent="0.35">
      <c r="B66" s="33">
        <v>60</v>
      </c>
      <c r="C66" s="33" t="s">
        <v>141</v>
      </c>
      <c r="D66" s="33">
        <v>144.24</v>
      </c>
      <c r="E66" s="33" t="s">
        <v>139</v>
      </c>
      <c r="F66" s="33" t="s">
        <v>1</v>
      </c>
      <c r="K66" t="str">
        <f t="shared" si="0"/>
        <v/>
      </c>
      <c r="L66" t="str">
        <f t="shared" si="1"/>
        <v/>
      </c>
      <c r="M66" t="str">
        <f t="shared" si="2"/>
        <v/>
      </c>
    </row>
    <row r="67" spans="2:13" x14ac:dyDescent="0.35">
      <c r="B67" s="33">
        <v>61</v>
      </c>
      <c r="C67" s="33" t="s">
        <v>142</v>
      </c>
      <c r="D67" s="34">
        <v>145</v>
      </c>
      <c r="E67" s="33" t="s">
        <v>139</v>
      </c>
      <c r="F67" s="33" t="s">
        <v>1</v>
      </c>
      <c r="K67" t="str">
        <f t="shared" si="0"/>
        <v/>
      </c>
      <c r="L67" t="str">
        <f t="shared" si="1"/>
        <v/>
      </c>
      <c r="M67" t="str">
        <f t="shared" si="2"/>
        <v/>
      </c>
    </row>
    <row r="68" spans="2:13" x14ac:dyDescent="0.35">
      <c r="B68" s="33">
        <v>62</v>
      </c>
      <c r="C68" s="33" t="s">
        <v>143</v>
      </c>
      <c r="D68" s="33">
        <v>150.36000000000001</v>
      </c>
      <c r="E68" s="33" t="s">
        <v>139</v>
      </c>
      <c r="F68" s="33" t="s">
        <v>1</v>
      </c>
      <c r="K68" t="str">
        <f t="shared" si="0"/>
        <v/>
      </c>
      <c r="L68" t="str">
        <f t="shared" si="1"/>
        <v/>
      </c>
      <c r="M68" t="str">
        <f t="shared" si="2"/>
        <v/>
      </c>
    </row>
    <row r="69" spans="2:13" x14ac:dyDescent="0.35">
      <c r="B69" s="33">
        <v>63</v>
      </c>
      <c r="C69" s="33" t="s">
        <v>144</v>
      </c>
      <c r="D69" s="33">
        <v>151.964</v>
      </c>
      <c r="E69" s="33" t="s">
        <v>139</v>
      </c>
      <c r="F69" s="33" t="s">
        <v>1</v>
      </c>
      <c r="K69" t="str">
        <f t="shared" si="0"/>
        <v/>
      </c>
      <c r="L69" t="str">
        <f t="shared" si="1"/>
        <v/>
      </c>
      <c r="M69" t="str">
        <f t="shared" si="2"/>
        <v/>
      </c>
    </row>
    <row r="70" spans="2:13" x14ac:dyDescent="0.35">
      <c r="B70" s="33">
        <v>64</v>
      </c>
      <c r="C70" s="33" t="s">
        <v>145</v>
      </c>
      <c r="D70" s="33">
        <v>157.25</v>
      </c>
      <c r="E70" s="33" t="s">
        <v>139</v>
      </c>
      <c r="F70" s="33" t="s">
        <v>1</v>
      </c>
      <c r="K70" t="str">
        <f t="shared" si="0"/>
        <v/>
      </c>
      <c r="L70" t="str">
        <f t="shared" si="1"/>
        <v/>
      </c>
      <c r="M70" t="str">
        <f t="shared" si="2"/>
        <v/>
      </c>
    </row>
    <row r="71" spans="2:13" x14ac:dyDescent="0.35">
      <c r="B71" s="33">
        <v>65</v>
      </c>
      <c r="C71" s="33" t="s">
        <v>146</v>
      </c>
      <c r="D71" s="33">
        <v>158.92529999999999</v>
      </c>
      <c r="E71" s="33" t="s">
        <v>139</v>
      </c>
      <c r="F71" s="33" t="s">
        <v>1</v>
      </c>
      <c r="K71" t="str">
        <f t="shared" si="0"/>
        <v/>
      </c>
      <c r="L71" t="str">
        <f t="shared" si="1"/>
        <v/>
      </c>
      <c r="M71" t="str">
        <f t="shared" si="2"/>
        <v/>
      </c>
    </row>
    <row r="72" spans="2:13" x14ac:dyDescent="0.35">
      <c r="B72" s="33">
        <v>66</v>
      </c>
      <c r="C72" s="33" t="s">
        <v>147</v>
      </c>
      <c r="D72" s="33">
        <v>162.5</v>
      </c>
      <c r="E72" s="33" t="s">
        <v>139</v>
      </c>
      <c r="F72" s="33" t="s">
        <v>1</v>
      </c>
      <c r="K72" t="str">
        <f t="shared" ref="K72:K124" si="3">IFERROR(VLOOKUP(J72,C71:F189,2,FALSE),"")</f>
        <v/>
      </c>
      <c r="L72" t="str">
        <f t="shared" ref="L72:L124" si="4">IFERROR(VLOOKUP(J72,C71:F189,3,FALSE),"")</f>
        <v/>
      </c>
      <c r="M72" t="str">
        <f t="shared" ref="M72:M124" si="5">IFERROR(VLOOKUP(J72,C71:F189,4,FALSE),"")</f>
        <v/>
      </c>
    </row>
    <row r="73" spans="2:13" x14ac:dyDescent="0.35">
      <c r="B73" s="33">
        <v>67</v>
      </c>
      <c r="C73" s="33" t="s">
        <v>148</v>
      </c>
      <c r="D73" s="33">
        <v>164.93029999999999</v>
      </c>
      <c r="E73" s="33" t="s">
        <v>139</v>
      </c>
      <c r="F73" s="33" t="s">
        <v>1</v>
      </c>
      <c r="K73" t="str">
        <f t="shared" si="3"/>
        <v/>
      </c>
      <c r="L73" t="str">
        <f t="shared" si="4"/>
        <v/>
      </c>
      <c r="M73" t="str">
        <f t="shared" si="5"/>
        <v/>
      </c>
    </row>
    <row r="74" spans="2:13" x14ac:dyDescent="0.35">
      <c r="B74" s="33">
        <v>68</v>
      </c>
      <c r="C74" s="33" t="s">
        <v>149</v>
      </c>
      <c r="D74" s="33">
        <v>167.25899999999999</v>
      </c>
      <c r="E74" s="33" t="s">
        <v>139</v>
      </c>
      <c r="F74" s="33" t="s">
        <v>1</v>
      </c>
      <c r="K74" t="str">
        <f t="shared" si="3"/>
        <v/>
      </c>
      <c r="L74" t="str">
        <f t="shared" si="4"/>
        <v/>
      </c>
      <c r="M74" t="str">
        <f t="shared" si="5"/>
        <v/>
      </c>
    </row>
    <row r="75" spans="2:13" x14ac:dyDescent="0.35">
      <c r="B75" s="33">
        <v>69</v>
      </c>
      <c r="C75" s="33" t="s">
        <v>150</v>
      </c>
      <c r="D75" s="33">
        <v>168.9342</v>
      </c>
      <c r="E75" s="33" t="s">
        <v>139</v>
      </c>
      <c r="F75" s="33" t="s">
        <v>1</v>
      </c>
      <c r="K75" t="str">
        <f t="shared" si="3"/>
        <v/>
      </c>
      <c r="L75" t="str">
        <f t="shared" si="4"/>
        <v/>
      </c>
      <c r="M75" t="str">
        <f t="shared" si="5"/>
        <v/>
      </c>
    </row>
    <row r="76" spans="2:13" x14ac:dyDescent="0.35">
      <c r="B76" s="33">
        <v>70</v>
      </c>
      <c r="C76" s="33" t="s">
        <v>151</v>
      </c>
      <c r="D76" s="33">
        <v>173.04</v>
      </c>
      <c r="E76" s="33" t="s">
        <v>139</v>
      </c>
      <c r="F76" s="33" t="s">
        <v>1</v>
      </c>
      <c r="K76" t="str">
        <f t="shared" si="3"/>
        <v/>
      </c>
      <c r="L76" t="str">
        <f t="shared" si="4"/>
        <v/>
      </c>
      <c r="M76" t="str">
        <f t="shared" si="5"/>
        <v/>
      </c>
    </row>
    <row r="77" spans="2:13" x14ac:dyDescent="0.35">
      <c r="B77" s="33">
        <v>71</v>
      </c>
      <c r="C77" s="33" t="s">
        <v>152</v>
      </c>
      <c r="D77" s="33">
        <v>174.96700000000001</v>
      </c>
      <c r="E77" s="33" t="s">
        <v>139</v>
      </c>
      <c r="F77" s="33" t="s">
        <v>1</v>
      </c>
      <c r="K77" t="str">
        <f t="shared" si="3"/>
        <v/>
      </c>
      <c r="L77" t="str">
        <f t="shared" si="4"/>
        <v/>
      </c>
      <c r="M77" t="str">
        <f t="shared" si="5"/>
        <v/>
      </c>
    </row>
    <row r="78" spans="2:13" x14ac:dyDescent="0.35">
      <c r="B78" s="33">
        <v>72</v>
      </c>
      <c r="C78" s="33" t="s">
        <v>153</v>
      </c>
      <c r="D78" s="33">
        <v>178.49</v>
      </c>
      <c r="E78" s="33" t="s">
        <v>94</v>
      </c>
      <c r="F78" s="33">
        <v>6</v>
      </c>
      <c r="K78" t="str">
        <f t="shared" si="3"/>
        <v/>
      </c>
      <c r="L78" t="str">
        <f t="shared" si="4"/>
        <v/>
      </c>
      <c r="M78" t="str">
        <f t="shared" si="5"/>
        <v/>
      </c>
    </row>
    <row r="79" spans="2:13" x14ac:dyDescent="0.35">
      <c r="B79" s="33">
        <v>73</v>
      </c>
      <c r="C79" s="33" t="s">
        <v>154</v>
      </c>
      <c r="D79" s="33">
        <v>180.9479</v>
      </c>
      <c r="E79" s="33" t="s">
        <v>96</v>
      </c>
      <c r="F79" s="33">
        <v>6</v>
      </c>
      <c r="K79" t="str">
        <f t="shared" si="3"/>
        <v/>
      </c>
      <c r="L79" t="str">
        <f t="shared" si="4"/>
        <v/>
      </c>
      <c r="M79" t="str">
        <f t="shared" si="5"/>
        <v/>
      </c>
    </row>
    <row r="80" spans="2:13" x14ac:dyDescent="0.35">
      <c r="B80" s="33">
        <v>74</v>
      </c>
      <c r="C80" s="33" t="s">
        <v>155</v>
      </c>
      <c r="D80" s="33">
        <v>183.84</v>
      </c>
      <c r="E80" s="33" t="s">
        <v>98</v>
      </c>
      <c r="F80" s="33">
        <v>6</v>
      </c>
      <c r="K80" t="str">
        <f t="shared" si="3"/>
        <v/>
      </c>
      <c r="L80" t="str">
        <f t="shared" si="4"/>
        <v/>
      </c>
      <c r="M80" t="str">
        <f t="shared" si="5"/>
        <v/>
      </c>
    </row>
    <row r="81" spans="2:13" x14ac:dyDescent="0.35">
      <c r="B81" s="33">
        <v>75</v>
      </c>
      <c r="C81" s="33" t="s">
        <v>156</v>
      </c>
      <c r="D81" s="33">
        <v>186.20699999999999</v>
      </c>
      <c r="E81" s="33" t="s">
        <v>100</v>
      </c>
      <c r="F81" s="33">
        <v>6</v>
      </c>
      <c r="K81" t="str">
        <f t="shared" si="3"/>
        <v/>
      </c>
      <c r="L81" t="str">
        <f t="shared" si="4"/>
        <v/>
      </c>
      <c r="M81" t="str">
        <f t="shared" si="5"/>
        <v/>
      </c>
    </row>
    <row r="82" spans="2:13" x14ac:dyDescent="0.35">
      <c r="B82" s="33">
        <v>76</v>
      </c>
      <c r="C82" s="33" t="s">
        <v>157</v>
      </c>
      <c r="D82" s="33">
        <v>190.23</v>
      </c>
      <c r="E82" s="33" t="s">
        <v>102</v>
      </c>
      <c r="F82" s="33">
        <v>6</v>
      </c>
      <c r="K82" t="str">
        <f t="shared" si="3"/>
        <v/>
      </c>
      <c r="L82" t="str">
        <f t="shared" si="4"/>
        <v/>
      </c>
      <c r="M82" t="str">
        <f t="shared" si="5"/>
        <v/>
      </c>
    </row>
    <row r="83" spans="2:13" x14ac:dyDescent="0.35">
      <c r="B83" s="33">
        <v>77</v>
      </c>
      <c r="C83" s="33" t="s">
        <v>158</v>
      </c>
      <c r="D83" s="33">
        <v>192.21700000000001</v>
      </c>
      <c r="E83" s="33" t="s">
        <v>104</v>
      </c>
      <c r="F83" s="33">
        <v>6</v>
      </c>
      <c r="K83" t="str">
        <f t="shared" si="3"/>
        <v/>
      </c>
      <c r="L83" t="str">
        <f t="shared" si="4"/>
        <v/>
      </c>
      <c r="M83" t="str">
        <f t="shared" si="5"/>
        <v/>
      </c>
    </row>
    <row r="84" spans="2:13" x14ac:dyDescent="0.35">
      <c r="B84" s="33">
        <v>78</v>
      </c>
      <c r="C84" s="33" t="s">
        <v>159</v>
      </c>
      <c r="D84" s="33">
        <v>195.078</v>
      </c>
      <c r="E84" s="33" t="s">
        <v>104</v>
      </c>
      <c r="F84" s="33">
        <v>6</v>
      </c>
      <c r="K84" t="str">
        <f t="shared" si="3"/>
        <v/>
      </c>
      <c r="L84" t="str">
        <f t="shared" si="4"/>
        <v/>
      </c>
      <c r="M84" t="str">
        <f t="shared" si="5"/>
        <v/>
      </c>
    </row>
    <row r="85" spans="2:13" x14ac:dyDescent="0.35">
      <c r="B85" s="33">
        <v>79</v>
      </c>
      <c r="C85" s="33" t="s">
        <v>160</v>
      </c>
      <c r="D85" s="35">
        <v>196.96655000000001</v>
      </c>
      <c r="E85" s="33" t="s">
        <v>104</v>
      </c>
      <c r="F85" s="33">
        <v>6</v>
      </c>
      <c r="K85" t="str">
        <f t="shared" si="3"/>
        <v/>
      </c>
      <c r="L85" t="str">
        <f t="shared" si="4"/>
        <v/>
      </c>
      <c r="M85" t="str">
        <f t="shared" si="5"/>
        <v/>
      </c>
    </row>
    <row r="86" spans="2:13" x14ac:dyDescent="0.35">
      <c r="B86" s="33">
        <v>80</v>
      </c>
      <c r="C86" s="33" t="s">
        <v>161</v>
      </c>
      <c r="D86" s="33">
        <v>200.59</v>
      </c>
      <c r="E86" s="33" t="s">
        <v>108</v>
      </c>
      <c r="F86" s="33">
        <v>6</v>
      </c>
      <c r="K86" t="str">
        <f t="shared" si="3"/>
        <v/>
      </c>
      <c r="L86" t="str">
        <f t="shared" si="4"/>
        <v/>
      </c>
      <c r="M86" t="str">
        <f t="shared" si="5"/>
        <v/>
      </c>
    </row>
    <row r="87" spans="2:13" x14ac:dyDescent="0.35">
      <c r="B87" s="33">
        <v>81</v>
      </c>
      <c r="C87" s="33" t="s">
        <v>162</v>
      </c>
      <c r="D87" s="33">
        <v>204.38329999999999</v>
      </c>
      <c r="E87" s="33" t="s">
        <v>110</v>
      </c>
      <c r="F87" s="33">
        <v>6</v>
      </c>
      <c r="K87" t="str">
        <f t="shared" si="3"/>
        <v/>
      </c>
      <c r="L87" t="str">
        <f t="shared" si="4"/>
        <v/>
      </c>
      <c r="M87" t="str">
        <f t="shared" si="5"/>
        <v/>
      </c>
    </row>
    <row r="88" spans="2:13" x14ac:dyDescent="0.35">
      <c r="B88" s="33">
        <v>82</v>
      </c>
      <c r="C88" s="33" t="s">
        <v>163</v>
      </c>
      <c r="D88" s="33">
        <v>207.2</v>
      </c>
      <c r="E88" s="33" t="s">
        <v>75</v>
      </c>
      <c r="F88" s="33">
        <v>6</v>
      </c>
      <c r="K88" t="str">
        <f t="shared" si="3"/>
        <v/>
      </c>
      <c r="L88" t="str">
        <f t="shared" si="4"/>
        <v/>
      </c>
      <c r="M88" t="str">
        <f t="shared" si="5"/>
        <v/>
      </c>
    </row>
    <row r="89" spans="2:13" x14ac:dyDescent="0.35">
      <c r="B89" s="33">
        <v>83</v>
      </c>
      <c r="C89" s="33" t="s">
        <v>164</v>
      </c>
      <c r="D89" s="33">
        <v>208.9804</v>
      </c>
      <c r="E89" s="33" t="s">
        <v>77</v>
      </c>
      <c r="F89" s="33">
        <v>6</v>
      </c>
      <c r="K89" t="str">
        <f t="shared" si="3"/>
        <v/>
      </c>
      <c r="L89" t="str">
        <f t="shared" si="4"/>
        <v/>
      </c>
      <c r="M89" t="str">
        <f t="shared" si="5"/>
        <v/>
      </c>
    </row>
    <row r="90" spans="2:13" x14ac:dyDescent="0.35">
      <c r="B90" s="33">
        <v>84</v>
      </c>
      <c r="C90" s="33" t="s">
        <v>165</v>
      </c>
      <c r="D90" s="33">
        <v>208.98240000000001</v>
      </c>
      <c r="E90" s="33" t="s">
        <v>79</v>
      </c>
      <c r="F90" s="33">
        <v>6</v>
      </c>
      <c r="K90" t="str">
        <f t="shared" si="3"/>
        <v/>
      </c>
      <c r="L90" t="str">
        <f t="shared" si="4"/>
        <v/>
      </c>
      <c r="M90" t="str">
        <f t="shared" si="5"/>
        <v/>
      </c>
    </row>
    <row r="91" spans="2:13" x14ac:dyDescent="0.35">
      <c r="B91" s="33">
        <v>85</v>
      </c>
      <c r="C91" s="33" t="s">
        <v>166</v>
      </c>
      <c r="D91" s="33">
        <v>210</v>
      </c>
      <c r="E91" s="33" t="s">
        <v>81</v>
      </c>
      <c r="F91" s="33">
        <v>6</v>
      </c>
      <c r="K91" t="str">
        <f t="shared" si="3"/>
        <v/>
      </c>
      <c r="L91" t="str">
        <f t="shared" si="4"/>
        <v/>
      </c>
      <c r="M91" t="str">
        <f t="shared" si="5"/>
        <v/>
      </c>
    </row>
    <row r="92" spans="2:13" x14ac:dyDescent="0.35">
      <c r="B92" s="33">
        <v>86</v>
      </c>
      <c r="C92" s="33" t="s">
        <v>167</v>
      </c>
      <c r="D92" s="33">
        <v>222</v>
      </c>
      <c r="E92" s="33" t="s">
        <v>68</v>
      </c>
      <c r="F92" s="33">
        <v>6</v>
      </c>
      <c r="K92" t="str">
        <f t="shared" si="3"/>
        <v/>
      </c>
      <c r="L92" t="str">
        <f t="shared" si="4"/>
        <v/>
      </c>
      <c r="M92" t="str">
        <f t="shared" si="5"/>
        <v/>
      </c>
    </row>
    <row r="93" spans="2:13" x14ac:dyDescent="0.35">
      <c r="B93" s="33">
        <v>87</v>
      </c>
      <c r="C93" s="33" t="s">
        <v>168</v>
      </c>
      <c r="D93" s="33">
        <v>223</v>
      </c>
      <c r="E93" s="33" t="s">
        <v>66</v>
      </c>
      <c r="F93" s="33">
        <v>7</v>
      </c>
      <c r="K93" t="str">
        <f t="shared" si="3"/>
        <v/>
      </c>
      <c r="L93" t="str">
        <f t="shared" si="4"/>
        <v/>
      </c>
      <c r="M93" t="str">
        <f t="shared" si="5"/>
        <v/>
      </c>
    </row>
    <row r="94" spans="2:13" x14ac:dyDescent="0.35">
      <c r="B94" s="33">
        <v>88</v>
      </c>
      <c r="C94" s="33" t="s">
        <v>169</v>
      </c>
      <c r="D94" s="33">
        <v>226.02539999999999</v>
      </c>
      <c r="E94" s="33" t="s">
        <v>71</v>
      </c>
      <c r="F94" s="33">
        <v>7</v>
      </c>
      <c r="K94" t="str">
        <f t="shared" si="3"/>
        <v/>
      </c>
      <c r="L94" t="str">
        <f t="shared" si="4"/>
        <v/>
      </c>
      <c r="M94" t="str">
        <f t="shared" si="5"/>
        <v/>
      </c>
    </row>
    <row r="95" spans="2:13" x14ac:dyDescent="0.35">
      <c r="B95" s="33">
        <v>89</v>
      </c>
      <c r="C95" s="33" t="s">
        <v>170</v>
      </c>
      <c r="D95" s="33">
        <v>227</v>
      </c>
      <c r="E95" s="33" t="s">
        <v>94</v>
      </c>
      <c r="F95" s="33">
        <v>7</v>
      </c>
      <c r="K95" t="str">
        <f t="shared" si="3"/>
        <v/>
      </c>
      <c r="L95" t="str">
        <f t="shared" si="4"/>
        <v/>
      </c>
      <c r="M95" t="str">
        <f t="shared" si="5"/>
        <v/>
      </c>
    </row>
    <row r="96" spans="2:13" x14ac:dyDescent="0.35">
      <c r="B96" s="33">
        <v>90</v>
      </c>
      <c r="C96" s="33" t="s">
        <v>171</v>
      </c>
      <c r="D96" s="33">
        <v>232.03800000000001</v>
      </c>
      <c r="E96" s="33" t="s">
        <v>172</v>
      </c>
      <c r="F96" s="33" t="s">
        <v>1</v>
      </c>
      <c r="K96" t="str">
        <f t="shared" si="3"/>
        <v/>
      </c>
      <c r="L96" t="str">
        <f t="shared" si="4"/>
        <v/>
      </c>
      <c r="M96" t="str">
        <f t="shared" si="5"/>
        <v/>
      </c>
    </row>
    <row r="97" spans="2:13" x14ac:dyDescent="0.35">
      <c r="B97" s="33">
        <v>91</v>
      </c>
      <c r="C97" s="33" t="s">
        <v>173</v>
      </c>
      <c r="D97" s="33">
        <v>231.036</v>
      </c>
      <c r="E97" s="33" t="s">
        <v>172</v>
      </c>
      <c r="F97" s="33" t="s">
        <v>1</v>
      </c>
      <c r="K97" t="str">
        <f t="shared" si="3"/>
        <v/>
      </c>
      <c r="L97" t="str">
        <f t="shared" si="4"/>
        <v/>
      </c>
      <c r="M97" t="str">
        <f t="shared" si="5"/>
        <v/>
      </c>
    </row>
    <row r="98" spans="2:13" x14ac:dyDescent="0.35">
      <c r="B98" s="33">
        <v>92</v>
      </c>
      <c r="C98" s="33" t="s">
        <v>174</v>
      </c>
      <c r="D98" s="33">
        <v>238.029</v>
      </c>
      <c r="E98" s="33" t="s">
        <v>172</v>
      </c>
      <c r="F98" s="33" t="s">
        <v>1</v>
      </c>
      <c r="K98" t="str">
        <f t="shared" si="3"/>
        <v/>
      </c>
      <c r="L98" t="str">
        <f t="shared" si="4"/>
        <v/>
      </c>
      <c r="M98" t="str">
        <f t="shared" si="5"/>
        <v/>
      </c>
    </row>
    <row r="99" spans="2:13" x14ac:dyDescent="0.35">
      <c r="B99" s="33">
        <v>93</v>
      </c>
      <c r="C99" s="33" t="s">
        <v>175</v>
      </c>
      <c r="D99" s="33">
        <v>237</v>
      </c>
      <c r="E99" s="33" t="s">
        <v>172</v>
      </c>
      <c r="F99" s="33" t="s">
        <v>1</v>
      </c>
      <c r="K99" t="str">
        <f t="shared" si="3"/>
        <v/>
      </c>
      <c r="L99" t="str">
        <f t="shared" si="4"/>
        <v/>
      </c>
      <c r="M99" t="str">
        <f t="shared" si="5"/>
        <v/>
      </c>
    </row>
    <row r="100" spans="2:13" x14ac:dyDescent="0.35">
      <c r="B100" s="33">
        <v>94</v>
      </c>
      <c r="C100" s="33" t="s">
        <v>176</v>
      </c>
      <c r="D100" s="33">
        <v>244</v>
      </c>
      <c r="E100" s="33" t="s">
        <v>172</v>
      </c>
      <c r="F100" s="33" t="s">
        <v>1</v>
      </c>
      <c r="K100" t="str">
        <f t="shared" si="3"/>
        <v/>
      </c>
      <c r="L100" t="str">
        <f t="shared" si="4"/>
        <v/>
      </c>
      <c r="M100" t="str">
        <f t="shared" si="5"/>
        <v/>
      </c>
    </row>
    <row r="101" spans="2:13" x14ac:dyDescent="0.35">
      <c r="B101" s="33">
        <v>95</v>
      </c>
      <c r="C101" s="33" t="s">
        <v>177</v>
      </c>
      <c r="D101" s="33">
        <v>243</v>
      </c>
      <c r="E101" s="33" t="s">
        <v>172</v>
      </c>
      <c r="F101" s="33" t="s">
        <v>1</v>
      </c>
      <c r="K101" t="str">
        <f t="shared" si="3"/>
        <v/>
      </c>
      <c r="L101" t="str">
        <f t="shared" si="4"/>
        <v/>
      </c>
      <c r="M101" t="str">
        <f t="shared" si="5"/>
        <v/>
      </c>
    </row>
    <row r="102" spans="2:13" x14ac:dyDescent="0.35">
      <c r="B102" s="33">
        <v>96</v>
      </c>
      <c r="C102" s="33" t="s">
        <v>178</v>
      </c>
      <c r="D102" s="33">
        <v>247</v>
      </c>
      <c r="E102" s="33" t="s">
        <v>172</v>
      </c>
      <c r="F102" s="33" t="s">
        <v>1</v>
      </c>
      <c r="K102" t="str">
        <f t="shared" si="3"/>
        <v/>
      </c>
      <c r="L102" t="str">
        <f t="shared" si="4"/>
        <v/>
      </c>
      <c r="M102" t="str">
        <f t="shared" si="5"/>
        <v/>
      </c>
    </row>
    <row r="103" spans="2:13" x14ac:dyDescent="0.35">
      <c r="B103" s="33">
        <v>97</v>
      </c>
      <c r="C103" s="33" t="s">
        <v>179</v>
      </c>
      <c r="D103" s="33">
        <v>247</v>
      </c>
      <c r="E103" s="33" t="s">
        <v>172</v>
      </c>
      <c r="F103" s="33" t="s">
        <v>1</v>
      </c>
      <c r="K103" t="str">
        <f t="shared" si="3"/>
        <v/>
      </c>
      <c r="L103" t="str">
        <f t="shared" si="4"/>
        <v/>
      </c>
      <c r="M103" t="str">
        <f t="shared" si="5"/>
        <v/>
      </c>
    </row>
    <row r="104" spans="2:13" x14ac:dyDescent="0.35">
      <c r="B104" s="33">
        <v>98</v>
      </c>
      <c r="C104" s="33" t="s">
        <v>180</v>
      </c>
      <c r="D104" s="33">
        <v>251</v>
      </c>
      <c r="E104" s="33" t="s">
        <v>172</v>
      </c>
      <c r="F104" s="33" t="s">
        <v>1</v>
      </c>
      <c r="K104" t="str">
        <f t="shared" si="3"/>
        <v/>
      </c>
      <c r="L104" t="str">
        <f t="shared" si="4"/>
        <v/>
      </c>
      <c r="M104" t="str">
        <f t="shared" si="5"/>
        <v/>
      </c>
    </row>
    <row r="105" spans="2:13" x14ac:dyDescent="0.35">
      <c r="B105" s="33">
        <v>99</v>
      </c>
      <c r="C105" s="33" t="s">
        <v>181</v>
      </c>
      <c r="D105" s="33">
        <v>252</v>
      </c>
      <c r="E105" s="33" t="s">
        <v>172</v>
      </c>
      <c r="F105" s="33" t="s">
        <v>1</v>
      </c>
      <c r="K105" t="str">
        <f t="shared" si="3"/>
        <v/>
      </c>
      <c r="L105" t="str">
        <f t="shared" si="4"/>
        <v/>
      </c>
      <c r="M105" t="str">
        <f t="shared" si="5"/>
        <v/>
      </c>
    </row>
    <row r="106" spans="2:13" x14ac:dyDescent="0.35">
      <c r="B106" s="33">
        <v>100</v>
      </c>
      <c r="C106" s="33" t="s">
        <v>182</v>
      </c>
      <c r="D106" s="33">
        <v>257</v>
      </c>
      <c r="E106" s="33" t="s">
        <v>172</v>
      </c>
      <c r="F106" s="33" t="s">
        <v>1</v>
      </c>
      <c r="K106" t="str">
        <f t="shared" si="3"/>
        <v/>
      </c>
      <c r="L106" t="str">
        <f t="shared" si="4"/>
        <v/>
      </c>
      <c r="M106" t="str">
        <f t="shared" si="5"/>
        <v/>
      </c>
    </row>
    <row r="107" spans="2:13" x14ac:dyDescent="0.35">
      <c r="B107" s="33">
        <v>101</v>
      </c>
      <c r="C107" s="33" t="s">
        <v>183</v>
      </c>
      <c r="D107" s="33">
        <v>258</v>
      </c>
      <c r="E107" s="33" t="s">
        <v>172</v>
      </c>
      <c r="F107" s="33" t="s">
        <v>1</v>
      </c>
      <c r="K107" t="str">
        <f t="shared" si="3"/>
        <v/>
      </c>
      <c r="L107" t="str">
        <f t="shared" si="4"/>
        <v/>
      </c>
      <c r="M107" t="str">
        <f t="shared" si="5"/>
        <v/>
      </c>
    </row>
    <row r="108" spans="2:13" x14ac:dyDescent="0.35">
      <c r="B108" s="33">
        <v>102</v>
      </c>
      <c r="C108" s="33" t="s">
        <v>184</v>
      </c>
      <c r="D108" s="33">
        <v>259</v>
      </c>
      <c r="E108" s="33" t="s">
        <v>172</v>
      </c>
      <c r="F108" s="33" t="s">
        <v>1</v>
      </c>
      <c r="K108" t="str">
        <f t="shared" si="3"/>
        <v/>
      </c>
      <c r="L108" t="str">
        <f t="shared" si="4"/>
        <v/>
      </c>
      <c r="M108" t="str">
        <f t="shared" si="5"/>
        <v/>
      </c>
    </row>
    <row r="109" spans="2:13" x14ac:dyDescent="0.35">
      <c r="B109" s="33">
        <v>103</v>
      </c>
      <c r="C109" s="33" t="s">
        <v>185</v>
      </c>
      <c r="D109" s="33">
        <v>262</v>
      </c>
      <c r="E109" s="33" t="s">
        <v>172</v>
      </c>
      <c r="F109" s="33" t="s">
        <v>1</v>
      </c>
      <c r="K109" t="str">
        <f t="shared" si="3"/>
        <v/>
      </c>
      <c r="L109" t="str">
        <f t="shared" si="4"/>
        <v/>
      </c>
      <c r="M109" t="str">
        <f t="shared" si="5"/>
        <v/>
      </c>
    </row>
    <row r="110" spans="2:13" x14ac:dyDescent="0.35">
      <c r="B110" s="33">
        <v>104</v>
      </c>
      <c r="C110" s="33" t="s">
        <v>186</v>
      </c>
      <c r="D110" s="33">
        <v>267</v>
      </c>
      <c r="E110" s="33" t="s">
        <v>94</v>
      </c>
      <c r="F110" s="33">
        <v>7</v>
      </c>
      <c r="K110" t="str">
        <f t="shared" si="3"/>
        <v/>
      </c>
      <c r="L110" t="str">
        <f t="shared" si="4"/>
        <v/>
      </c>
      <c r="M110" t="str">
        <f t="shared" si="5"/>
        <v/>
      </c>
    </row>
    <row r="111" spans="2:13" x14ac:dyDescent="0.35">
      <c r="B111" s="33">
        <v>105</v>
      </c>
      <c r="C111" s="33" t="s">
        <v>187</v>
      </c>
      <c r="D111" s="33">
        <v>268</v>
      </c>
      <c r="E111" s="33" t="s">
        <v>96</v>
      </c>
      <c r="F111" s="33">
        <v>7</v>
      </c>
      <c r="K111" t="str">
        <f t="shared" si="3"/>
        <v/>
      </c>
      <c r="L111" t="str">
        <f t="shared" si="4"/>
        <v/>
      </c>
      <c r="M111" t="str">
        <f t="shared" si="5"/>
        <v/>
      </c>
    </row>
    <row r="112" spans="2:13" x14ac:dyDescent="0.35">
      <c r="B112" s="33">
        <v>106</v>
      </c>
      <c r="C112" s="33" t="s">
        <v>188</v>
      </c>
      <c r="D112" s="33">
        <v>269</v>
      </c>
      <c r="E112" s="33" t="s">
        <v>98</v>
      </c>
      <c r="F112" s="33">
        <v>7</v>
      </c>
      <c r="K112" t="str">
        <f t="shared" si="3"/>
        <v/>
      </c>
      <c r="L112" t="str">
        <f t="shared" si="4"/>
        <v/>
      </c>
      <c r="M112" t="str">
        <f t="shared" si="5"/>
        <v/>
      </c>
    </row>
    <row r="113" spans="2:13" x14ac:dyDescent="0.35">
      <c r="B113" s="33">
        <v>107</v>
      </c>
      <c r="C113" s="33" t="s">
        <v>189</v>
      </c>
      <c r="D113" s="33">
        <v>270</v>
      </c>
      <c r="E113" s="33" t="s">
        <v>100</v>
      </c>
      <c r="F113" s="33">
        <v>7</v>
      </c>
      <c r="K113" t="str">
        <f t="shared" si="3"/>
        <v/>
      </c>
      <c r="L113" t="str">
        <f t="shared" si="4"/>
        <v/>
      </c>
      <c r="M113" t="str">
        <f t="shared" si="5"/>
        <v/>
      </c>
    </row>
    <row r="114" spans="2:13" x14ac:dyDescent="0.35">
      <c r="B114" s="33">
        <v>108</v>
      </c>
      <c r="C114" s="33" t="s">
        <v>190</v>
      </c>
      <c r="D114" s="33">
        <v>269</v>
      </c>
      <c r="E114" s="33" t="s">
        <v>102</v>
      </c>
      <c r="F114" s="33">
        <v>7</v>
      </c>
      <c r="K114" t="str">
        <f t="shared" si="3"/>
        <v/>
      </c>
      <c r="L114" t="str">
        <f t="shared" si="4"/>
        <v/>
      </c>
      <c r="M114" t="str">
        <f t="shared" si="5"/>
        <v/>
      </c>
    </row>
    <row r="115" spans="2:13" x14ac:dyDescent="0.35">
      <c r="B115" s="33">
        <v>109</v>
      </c>
      <c r="C115" s="33" t="s">
        <v>191</v>
      </c>
      <c r="D115" s="33">
        <v>278</v>
      </c>
      <c r="E115" s="33" t="s">
        <v>104</v>
      </c>
      <c r="F115" s="33">
        <v>7</v>
      </c>
      <c r="K115" t="str">
        <f t="shared" si="3"/>
        <v/>
      </c>
      <c r="L115" t="str">
        <f t="shared" si="4"/>
        <v/>
      </c>
      <c r="M115" t="str">
        <f t="shared" si="5"/>
        <v/>
      </c>
    </row>
    <row r="116" spans="2:13" x14ac:dyDescent="0.35">
      <c r="B116" s="33">
        <v>110</v>
      </c>
      <c r="C116" s="33" t="s">
        <v>192</v>
      </c>
      <c r="D116" s="33">
        <v>281</v>
      </c>
      <c r="E116" s="33" t="s">
        <v>104</v>
      </c>
      <c r="F116" s="33">
        <v>7</v>
      </c>
      <c r="K116" t="str">
        <f t="shared" si="3"/>
        <v/>
      </c>
      <c r="L116" t="str">
        <f t="shared" si="4"/>
        <v/>
      </c>
      <c r="M116" t="str">
        <f t="shared" si="5"/>
        <v/>
      </c>
    </row>
    <row r="117" spans="2:13" x14ac:dyDescent="0.35">
      <c r="B117" s="33">
        <v>111</v>
      </c>
      <c r="C117" s="33" t="s">
        <v>193</v>
      </c>
      <c r="D117" s="33">
        <v>280</v>
      </c>
      <c r="E117" s="33" t="s">
        <v>104</v>
      </c>
      <c r="F117" s="33">
        <v>7</v>
      </c>
      <c r="K117" t="str">
        <f t="shared" si="3"/>
        <v/>
      </c>
      <c r="L117" t="str">
        <f t="shared" si="4"/>
        <v/>
      </c>
      <c r="M117" t="str">
        <f t="shared" si="5"/>
        <v/>
      </c>
    </row>
    <row r="118" spans="2:13" x14ac:dyDescent="0.35">
      <c r="B118" s="33">
        <v>112</v>
      </c>
      <c r="C118" s="33" t="s">
        <v>194</v>
      </c>
      <c r="D118" s="33">
        <v>285</v>
      </c>
      <c r="E118" s="33" t="s">
        <v>108</v>
      </c>
      <c r="F118" s="33">
        <v>7</v>
      </c>
      <c r="K118" t="str">
        <f t="shared" si="3"/>
        <v/>
      </c>
      <c r="L118" t="str">
        <f t="shared" si="4"/>
        <v/>
      </c>
      <c r="M118" t="str">
        <f t="shared" si="5"/>
        <v/>
      </c>
    </row>
    <row r="119" spans="2:13" x14ac:dyDescent="0.35">
      <c r="B119" s="33">
        <v>113</v>
      </c>
      <c r="C119" s="33" t="s">
        <v>195</v>
      </c>
      <c r="D119" s="33">
        <v>286</v>
      </c>
      <c r="E119" s="33" t="s">
        <v>73</v>
      </c>
      <c r="F119" s="33">
        <v>7</v>
      </c>
      <c r="K119" t="str">
        <f t="shared" si="3"/>
        <v/>
      </c>
      <c r="L119" t="str">
        <f t="shared" si="4"/>
        <v/>
      </c>
      <c r="M119" t="str">
        <f t="shared" si="5"/>
        <v/>
      </c>
    </row>
    <row r="120" spans="2:13" x14ac:dyDescent="0.35">
      <c r="B120" s="33">
        <v>114</v>
      </c>
      <c r="C120" s="33" t="s">
        <v>196</v>
      </c>
      <c r="D120" s="33">
        <v>289</v>
      </c>
      <c r="E120" s="33" t="s">
        <v>75</v>
      </c>
      <c r="F120" s="33">
        <v>7</v>
      </c>
      <c r="K120" t="str">
        <f t="shared" si="3"/>
        <v/>
      </c>
      <c r="L120" t="str">
        <f t="shared" si="4"/>
        <v/>
      </c>
      <c r="M120" t="str">
        <f t="shared" si="5"/>
        <v/>
      </c>
    </row>
    <row r="121" spans="2:13" x14ac:dyDescent="0.35">
      <c r="B121" s="33">
        <v>115</v>
      </c>
      <c r="C121" s="33" t="s">
        <v>197</v>
      </c>
      <c r="D121" s="33">
        <v>289</v>
      </c>
      <c r="E121" s="33" t="s">
        <v>77</v>
      </c>
      <c r="F121" s="33">
        <v>7</v>
      </c>
      <c r="K121" t="str">
        <f t="shared" si="3"/>
        <v/>
      </c>
      <c r="L121" t="str">
        <f t="shared" si="4"/>
        <v/>
      </c>
      <c r="M121" t="str">
        <f t="shared" si="5"/>
        <v/>
      </c>
    </row>
    <row r="122" spans="2:13" x14ac:dyDescent="0.35">
      <c r="B122" s="33">
        <v>116</v>
      </c>
      <c r="C122" s="33" t="s">
        <v>198</v>
      </c>
      <c r="D122" s="33">
        <v>293</v>
      </c>
      <c r="E122" s="33" t="s">
        <v>79</v>
      </c>
      <c r="F122" s="33">
        <v>7</v>
      </c>
      <c r="K122" t="str">
        <f t="shared" si="3"/>
        <v/>
      </c>
      <c r="L122" t="str">
        <f t="shared" si="4"/>
        <v/>
      </c>
      <c r="M122" t="str">
        <f t="shared" si="5"/>
        <v/>
      </c>
    </row>
    <row r="123" spans="2:13" x14ac:dyDescent="0.35">
      <c r="B123" s="33">
        <v>117</v>
      </c>
      <c r="C123" s="33" t="s">
        <v>199</v>
      </c>
      <c r="D123" s="33">
        <v>294</v>
      </c>
      <c r="E123" s="33" t="s">
        <v>81</v>
      </c>
      <c r="F123" s="33">
        <v>7</v>
      </c>
      <c r="K123" t="str">
        <f t="shared" si="3"/>
        <v/>
      </c>
      <c r="L123" t="str">
        <f t="shared" si="4"/>
        <v/>
      </c>
      <c r="M123" t="str">
        <f t="shared" si="5"/>
        <v/>
      </c>
    </row>
    <row r="124" spans="2:13" x14ac:dyDescent="0.35">
      <c r="B124" s="33">
        <v>118</v>
      </c>
      <c r="C124" s="33" t="s">
        <v>200</v>
      </c>
      <c r="D124" s="33">
        <v>294</v>
      </c>
      <c r="E124" s="33" t="s">
        <v>68</v>
      </c>
      <c r="F124" s="33">
        <v>7</v>
      </c>
      <c r="K124" t="str">
        <f t="shared" si="3"/>
        <v/>
      </c>
      <c r="L124" t="str">
        <f t="shared" si="4"/>
        <v/>
      </c>
      <c r="M124" t="str">
        <f t="shared" si="5"/>
        <v/>
      </c>
    </row>
  </sheetData>
  <mergeCells count="2">
    <mergeCell ref="B3:F4"/>
    <mergeCell ref="J3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0"/>
  <sheetViews>
    <sheetView view="pageBreakPreview" zoomScale="60" zoomScaleNormal="100" workbookViewId="0">
      <selection activeCell="H6" sqref="H6"/>
    </sheetView>
  </sheetViews>
  <sheetFormatPr defaultRowHeight="14.5" x14ac:dyDescent="0.35"/>
  <cols>
    <col min="2" max="2" width="10.26953125" bestFit="1" customWidth="1"/>
    <col min="6" max="7" width="12.453125" customWidth="1"/>
    <col min="8" max="8" width="14.453125" customWidth="1"/>
    <col min="9" max="9" width="16.26953125" customWidth="1"/>
    <col min="10" max="10" width="12.81640625" customWidth="1"/>
  </cols>
  <sheetData>
    <row r="2" spans="2:10" ht="15" thickBot="1" x14ac:dyDescent="0.4"/>
    <row r="3" spans="2:10" x14ac:dyDescent="0.35">
      <c r="B3" s="83" t="s">
        <v>201</v>
      </c>
      <c r="C3" s="84"/>
      <c r="D3" s="84"/>
      <c r="E3" s="84"/>
      <c r="F3" s="84"/>
      <c r="G3" s="84"/>
      <c r="H3" s="84"/>
      <c r="I3" s="84"/>
      <c r="J3" s="85"/>
    </row>
    <row r="4" spans="2:10" ht="15" thickBot="1" x14ac:dyDescent="0.4">
      <c r="B4" s="86"/>
      <c r="C4" s="87"/>
      <c r="D4" s="87"/>
      <c r="E4" s="87"/>
      <c r="F4" s="87"/>
      <c r="G4" s="87"/>
      <c r="H4" s="87"/>
      <c r="I4" s="87"/>
      <c r="J4" s="88"/>
    </row>
    <row r="5" spans="2:10" x14ac:dyDescent="0.35">
      <c r="C5" s="30"/>
      <c r="D5" s="30"/>
      <c r="E5" s="30"/>
      <c r="F5" s="30"/>
      <c r="G5" s="30"/>
      <c r="H5" s="30"/>
      <c r="I5" s="30"/>
      <c r="J5" s="30"/>
    </row>
    <row r="6" spans="2:10" ht="59.25" customHeight="1" x14ac:dyDescent="0.35">
      <c r="B6" s="36" t="s">
        <v>207</v>
      </c>
      <c r="C6" s="36" t="s">
        <v>202</v>
      </c>
      <c r="D6" s="37" t="s">
        <v>203</v>
      </c>
      <c r="E6" s="37" t="s">
        <v>204</v>
      </c>
      <c r="F6" s="32" t="s">
        <v>62</v>
      </c>
      <c r="G6" s="32" t="s">
        <v>205</v>
      </c>
      <c r="H6" s="38"/>
      <c r="I6" s="39" t="s">
        <v>206</v>
      </c>
      <c r="J6" s="36" t="s">
        <v>210</v>
      </c>
    </row>
    <row r="7" spans="2:10" x14ac:dyDescent="0.35">
      <c r="B7" s="80" t="s">
        <v>1</v>
      </c>
      <c r="C7" s="92"/>
      <c r="D7" s="35" t="s">
        <v>1</v>
      </c>
      <c r="E7" s="33" t="s">
        <v>1</v>
      </c>
      <c r="F7" s="33" t="str">
        <f>IFERROR(VLOOKUP(D7,'[1]SPU-HOME'!D6:$F$124,2,FALSE),"0")</f>
        <v>0</v>
      </c>
      <c r="G7" s="33" t="str">
        <f>IFERROR(F7*E7,"0")</f>
        <v>0</v>
      </c>
      <c r="H7" s="30"/>
      <c r="I7" s="93">
        <f>IFERROR(G7+G8+G9,"0")</f>
        <v>0</v>
      </c>
      <c r="J7" s="89">
        <f>I7</f>
        <v>0</v>
      </c>
    </row>
    <row r="8" spans="2:10" x14ac:dyDescent="0.35">
      <c r="B8" s="81"/>
      <c r="C8" s="92"/>
      <c r="D8" s="35" t="s">
        <v>1</v>
      </c>
      <c r="E8" s="33" t="s">
        <v>1</v>
      </c>
      <c r="F8" s="33" t="str">
        <f>IFERROR(VLOOKUP(D8,'[1]SPU-HOME'!$C$7:$F$124,2,FALSE),"0")</f>
        <v>0</v>
      </c>
      <c r="G8" s="33" t="str">
        <f>IFERROR(F8*E8,"0")</f>
        <v>0</v>
      </c>
      <c r="H8" s="30"/>
      <c r="I8" s="93"/>
      <c r="J8" s="90"/>
    </row>
    <row r="9" spans="2:10" x14ac:dyDescent="0.35">
      <c r="B9" s="82"/>
      <c r="C9" s="92"/>
      <c r="D9" s="35" t="s">
        <v>1</v>
      </c>
      <c r="E9" s="33" t="s">
        <v>1</v>
      </c>
      <c r="F9" s="33" t="str">
        <f>IFERROR(VLOOKUP(D9,'[1]SPU-HOME'!$C$6:$D$124,2,FALSE),"0")</f>
        <v>0</v>
      </c>
      <c r="G9" s="33" t="str">
        <f>IFERROR(F9*E9,"0")</f>
        <v>0</v>
      </c>
      <c r="H9" s="30"/>
      <c r="I9" s="93"/>
      <c r="J9" s="91"/>
    </row>
    <row r="10" spans="2:10" x14ac:dyDescent="0.35">
      <c r="B10" s="80"/>
      <c r="C10" s="92"/>
      <c r="D10" s="35" t="s">
        <v>1</v>
      </c>
      <c r="E10" s="33" t="s">
        <v>1</v>
      </c>
      <c r="F10" s="33" t="str">
        <f>IFERROR(VLOOKUP(D10,'[1]SPU-HOME'!$C$6:$D$124,2,FALSE),"0")</f>
        <v>0</v>
      </c>
      <c r="G10" s="33" t="str">
        <f>IFERROR(F10*E10,"0")</f>
        <v>0</v>
      </c>
      <c r="H10" s="30"/>
      <c r="I10" s="93">
        <f>IFERROR(G10+G11+G12,"0")</f>
        <v>0</v>
      </c>
      <c r="J10" s="89">
        <f>I10</f>
        <v>0</v>
      </c>
    </row>
    <row r="11" spans="2:10" x14ac:dyDescent="0.35">
      <c r="B11" s="81"/>
      <c r="C11" s="92"/>
      <c r="D11" s="35" t="s">
        <v>1</v>
      </c>
      <c r="E11" s="33" t="s">
        <v>1</v>
      </c>
      <c r="F11" s="33" t="str">
        <f>IFERROR(VLOOKUP(D11,'[1]SPU-HOME'!$C$6:$D$124,2,FALSE),"0")</f>
        <v>0</v>
      </c>
      <c r="G11" s="33" t="str">
        <f>IFERROR(F11*E11,"0")</f>
        <v>0</v>
      </c>
      <c r="H11" s="30"/>
      <c r="I11" s="93"/>
      <c r="J11" s="90"/>
    </row>
    <row r="12" spans="2:10" x14ac:dyDescent="0.35">
      <c r="B12" s="82"/>
      <c r="C12" s="92"/>
      <c r="D12" s="35" t="s">
        <v>1</v>
      </c>
      <c r="E12" s="33" t="s">
        <v>1</v>
      </c>
      <c r="F12" s="33" t="str">
        <f>IFERROR(VLOOKUP(D12,'[1]SPU-HOME'!$C$6:$D$124,2,FALSE),"0")</f>
        <v>0</v>
      </c>
      <c r="G12" s="33" t="str">
        <f>IFERROR(E12*F12,"0")</f>
        <v>0</v>
      </c>
      <c r="H12" s="30"/>
      <c r="I12" s="93"/>
      <c r="J12" s="91"/>
    </row>
    <row r="13" spans="2:10" x14ac:dyDescent="0.35">
      <c r="B13" s="80"/>
      <c r="C13" s="92"/>
      <c r="D13" s="35" t="s">
        <v>1</v>
      </c>
      <c r="E13" s="33" t="s">
        <v>1</v>
      </c>
      <c r="F13" s="33" t="str">
        <f>IFERROR(VLOOKUP(D13,'[1]SPU-HOME'!$C$6:$D$124,2,FALSE),"0")</f>
        <v>0</v>
      </c>
      <c r="G13" s="33" t="str">
        <f>IFERROR(F13*E13,"0")</f>
        <v>0</v>
      </c>
      <c r="H13" s="30"/>
      <c r="I13" s="93">
        <f>IFERROR(G13+G14+G15,"0")</f>
        <v>0</v>
      </c>
      <c r="J13" s="89">
        <f>I13</f>
        <v>0</v>
      </c>
    </row>
    <row r="14" spans="2:10" x14ac:dyDescent="0.35">
      <c r="B14" s="81"/>
      <c r="C14" s="92"/>
      <c r="D14" s="35" t="s">
        <v>1</v>
      </c>
      <c r="E14" s="33" t="s">
        <v>1</v>
      </c>
      <c r="F14" s="33" t="str">
        <f>IFERROR(VLOOKUP(D14,'[1]SPU-HOME'!$C$6:$D$124,2,FALSE),"0")</f>
        <v>0</v>
      </c>
      <c r="G14" s="33" t="str">
        <f>IFERROR(F14*E14,"0")</f>
        <v>0</v>
      </c>
      <c r="H14" s="30"/>
      <c r="I14" s="93"/>
      <c r="J14" s="90"/>
    </row>
    <row r="15" spans="2:10" x14ac:dyDescent="0.35">
      <c r="B15" s="82"/>
      <c r="C15" s="92"/>
      <c r="D15" s="35" t="s">
        <v>1</v>
      </c>
      <c r="E15" s="33" t="s">
        <v>1</v>
      </c>
      <c r="F15" s="33" t="str">
        <f>IFERROR(VLOOKUP(D15,'[1]SPU-HOME'!$C$6:$D$124,2,FALSE),"0")</f>
        <v>0</v>
      </c>
      <c r="G15" s="33" t="str">
        <f>IFERROR(F15*E15,"0")</f>
        <v>0</v>
      </c>
      <c r="H15" s="30"/>
      <c r="I15" s="93"/>
      <c r="J15" s="91"/>
    </row>
    <row r="16" spans="2:10" x14ac:dyDescent="0.35">
      <c r="B16" s="80"/>
      <c r="C16" s="92"/>
      <c r="D16" s="33"/>
      <c r="E16" s="33"/>
      <c r="F16" s="33" t="str">
        <f>IFERROR(VLOOKUP(D16,'[1]SPU-HOME'!$C$6:$D$124,2,FALSE),"0")</f>
        <v>0</v>
      </c>
      <c r="G16" s="33">
        <f>IFERROR(F16*E16,"")</f>
        <v>0</v>
      </c>
      <c r="H16" s="30"/>
      <c r="I16" s="93">
        <f>IFERROR(G16+G17+G18+G19+G20,"0")</f>
        <v>0</v>
      </c>
      <c r="J16" s="89">
        <f>I17</f>
        <v>0</v>
      </c>
    </row>
    <row r="17" spans="2:10" x14ac:dyDescent="0.35">
      <c r="B17" s="81"/>
      <c r="C17" s="92"/>
      <c r="D17" s="33"/>
      <c r="E17" s="33"/>
      <c r="F17" s="33" t="str">
        <f>IFERROR(VLOOKUP(D17,'[1]SPU-HOME'!$C$6:$D$124,2,FALSE),"0")</f>
        <v>0</v>
      </c>
      <c r="G17" s="33">
        <f>IFERROR(F17*E17,"")</f>
        <v>0</v>
      </c>
      <c r="H17" s="30"/>
      <c r="I17" s="93"/>
      <c r="J17" s="90"/>
    </row>
    <row r="18" spans="2:10" x14ac:dyDescent="0.35">
      <c r="B18" s="81"/>
      <c r="C18" s="92"/>
      <c r="D18" s="33"/>
      <c r="E18" s="33"/>
      <c r="F18" s="33" t="str">
        <f>IFERROR(VLOOKUP(D18,'[1]SPU-HOME'!$C$6:$D$124,2,FALSE),"0")</f>
        <v>0</v>
      </c>
      <c r="G18" s="33">
        <f>IFERROR(F18*E18,"")</f>
        <v>0</v>
      </c>
      <c r="H18" s="30"/>
      <c r="I18" s="93"/>
      <c r="J18" s="90"/>
    </row>
    <row r="19" spans="2:10" x14ac:dyDescent="0.35">
      <c r="B19" s="81"/>
      <c r="C19" s="92"/>
      <c r="D19" s="33"/>
      <c r="E19" s="33"/>
      <c r="F19" s="33" t="str">
        <f>IFERROR(VLOOKUP(D19,'[1]SPU-HOME'!$C$6:$D$124,2,FALSE),"0")</f>
        <v>0</v>
      </c>
      <c r="G19" s="33">
        <f>IFERROR(F19*E19,"")</f>
        <v>0</v>
      </c>
      <c r="H19" s="30"/>
      <c r="I19" s="93"/>
      <c r="J19" s="90"/>
    </row>
    <row r="20" spans="2:10" x14ac:dyDescent="0.35">
      <c r="B20" s="82"/>
      <c r="C20" s="92"/>
      <c r="D20" s="33"/>
      <c r="E20" s="33"/>
      <c r="F20" s="33" t="str">
        <f>IFERROR(VLOOKUP(D20,'[1]SPU-HOME'!$C$6:$D$124,2,FALSE),"0")</f>
        <v>0</v>
      </c>
      <c r="G20" s="33">
        <f>IFERROR(F20*E20,"")</f>
        <v>0</v>
      </c>
      <c r="H20" s="30"/>
      <c r="I20" s="93"/>
      <c r="J20" s="91"/>
    </row>
  </sheetData>
  <mergeCells count="17">
    <mergeCell ref="B7:B9"/>
    <mergeCell ref="B10:B12"/>
    <mergeCell ref="B13:B15"/>
    <mergeCell ref="B16:B20"/>
    <mergeCell ref="B3:J4"/>
    <mergeCell ref="J7:J9"/>
    <mergeCell ref="J10:J12"/>
    <mergeCell ref="J13:J15"/>
    <mergeCell ref="J16:J20"/>
    <mergeCell ref="C7:C9"/>
    <mergeCell ref="I7:I9"/>
    <mergeCell ref="C10:C12"/>
    <mergeCell ref="I10:I12"/>
    <mergeCell ref="C13:C15"/>
    <mergeCell ref="I13:I15"/>
    <mergeCell ref="C16:C20"/>
    <mergeCell ref="I16:I20"/>
  </mergeCells>
  <pageMargins left="0.7" right="0.7" top="0.75" bottom="0.75" header="0.3" footer="0.3"/>
  <pageSetup paperSize="9" scale="7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20"/>
  <sheetViews>
    <sheetView view="pageBreakPreview" zoomScale="60" zoomScaleNormal="100" workbookViewId="0">
      <selection activeCell="B7" sqref="B7:B9"/>
    </sheetView>
  </sheetViews>
  <sheetFormatPr defaultRowHeight="14.5" x14ac:dyDescent="0.35"/>
  <cols>
    <col min="2" max="2" width="11.54296875" customWidth="1"/>
    <col min="6" max="6" width="11.81640625" customWidth="1"/>
    <col min="7" max="7" width="12.54296875" customWidth="1"/>
    <col min="8" max="8" width="16.453125" customWidth="1"/>
    <col min="9" max="9" width="14.26953125" customWidth="1"/>
    <col min="11" max="11" width="9.54296875" bestFit="1" customWidth="1"/>
    <col min="12" max="12" width="11.7265625" customWidth="1"/>
  </cols>
  <sheetData>
    <row r="2" spans="2:12" ht="15" thickBot="1" x14ac:dyDescent="0.4"/>
    <row r="3" spans="2:12" x14ac:dyDescent="0.35">
      <c r="B3" s="83" t="s">
        <v>208</v>
      </c>
      <c r="C3" s="84"/>
      <c r="D3" s="84"/>
      <c r="E3" s="84"/>
      <c r="F3" s="84"/>
      <c r="G3" s="84"/>
      <c r="H3" s="84"/>
      <c r="I3" s="84"/>
      <c r="J3" s="84"/>
      <c r="K3" s="84"/>
      <c r="L3" s="85"/>
    </row>
    <row r="4" spans="2:12" ht="15" thickBot="1" x14ac:dyDescent="0.4">
      <c r="B4" s="86"/>
      <c r="C4" s="87"/>
      <c r="D4" s="87"/>
      <c r="E4" s="87"/>
      <c r="F4" s="87"/>
      <c r="G4" s="87"/>
      <c r="H4" s="87"/>
      <c r="I4" s="87"/>
      <c r="J4" s="87"/>
      <c r="K4" s="87"/>
      <c r="L4" s="88"/>
    </row>
    <row r="5" spans="2:12" x14ac:dyDescent="0.35">
      <c r="C5" s="30"/>
      <c r="D5" s="30"/>
      <c r="E5" s="30"/>
      <c r="F5" s="30"/>
      <c r="G5" s="30"/>
      <c r="H5" s="30"/>
      <c r="I5" s="30"/>
      <c r="J5" s="30"/>
    </row>
    <row r="6" spans="2:12" ht="60" customHeight="1" x14ac:dyDescent="0.35">
      <c r="B6" s="36" t="s">
        <v>207</v>
      </c>
      <c r="C6" s="36" t="s">
        <v>202</v>
      </c>
      <c r="D6" s="37" t="s">
        <v>203</v>
      </c>
      <c r="E6" s="37" t="s">
        <v>204</v>
      </c>
      <c r="F6" s="32" t="s">
        <v>62</v>
      </c>
      <c r="G6" s="32" t="s">
        <v>205</v>
      </c>
      <c r="H6" s="39" t="s">
        <v>206</v>
      </c>
      <c r="I6" s="36" t="s">
        <v>210</v>
      </c>
      <c r="J6" s="37" t="s">
        <v>211</v>
      </c>
      <c r="K6" s="39" t="s">
        <v>209</v>
      </c>
      <c r="L6" s="36" t="s">
        <v>210</v>
      </c>
    </row>
    <row r="7" spans="2:12" x14ac:dyDescent="0.35">
      <c r="B7" s="92" t="s">
        <v>1</v>
      </c>
      <c r="C7" s="92" t="s">
        <v>1</v>
      </c>
      <c r="D7" s="35" t="s">
        <v>1</v>
      </c>
      <c r="E7" s="33" t="s">
        <v>1</v>
      </c>
      <c r="F7" s="33" t="str">
        <f>IFERROR(VLOOKUP(D7,'[1]SPU-HOME'!$C$6:$D$124,2,FALSE),"0")</f>
        <v>0</v>
      </c>
      <c r="G7" s="33" t="str">
        <f>IFERROR(F7*E7,"0")</f>
        <v>0</v>
      </c>
      <c r="H7" s="93">
        <f>IFERROR(G7+G8+G9,"0")</f>
        <v>0</v>
      </c>
      <c r="I7" s="94">
        <f>H7</f>
        <v>0</v>
      </c>
      <c r="J7" s="92" t="s">
        <v>1</v>
      </c>
      <c r="K7" s="93" t="str">
        <f>IFERROR(H7/J7,"0")</f>
        <v>0</v>
      </c>
      <c r="L7" s="94" t="str">
        <f>K7</f>
        <v>0</v>
      </c>
    </row>
    <row r="8" spans="2:12" x14ac:dyDescent="0.35">
      <c r="B8" s="92"/>
      <c r="C8" s="92"/>
      <c r="D8" s="35" t="s">
        <v>1</v>
      </c>
      <c r="E8" s="33" t="s">
        <v>1</v>
      </c>
      <c r="F8" s="33" t="str">
        <f>IFERROR(VLOOKUP(D8,'[1]SPU-HOME'!$C$7:$F$124,2,FALSE),"0")</f>
        <v>0</v>
      </c>
      <c r="G8" s="33" t="str">
        <f>IFERROR(F8*E8,"0")</f>
        <v>0</v>
      </c>
      <c r="H8" s="93"/>
      <c r="I8" s="94"/>
      <c r="J8" s="92"/>
      <c r="K8" s="93"/>
      <c r="L8" s="94"/>
    </row>
    <row r="9" spans="2:12" x14ac:dyDescent="0.35">
      <c r="B9" s="92"/>
      <c r="C9" s="92"/>
      <c r="D9" s="35" t="s">
        <v>1</v>
      </c>
      <c r="E9" s="33" t="s">
        <v>1</v>
      </c>
      <c r="F9" s="33" t="str">
        <f>IFERROR(VLOOKUP(D9,'[1]SPU-HOME'!$C$6:$D$124,2,FALSE),"0")</f>
        <v>0</v>
      </c>
      <c r="G9" s="33" t="str">
        <f>IFERROR(F9*E9,"0")</f>
        <v>0</v>
      </c>
      <c r="H9" s="93"/>
      <c r="I9" s="94"/>
      <c r="J9" s="92"/>
      <c r="K9" s="93"/>
      <c r="L9" s="94"/>
    </row>
    <row r="10" spans="2:12" x14ac:dyDescent="0.35">
      <c r="B10" s="80"/>
      <c r="C10" s="92"/>
      <c r="D10" s="35" t="s">
        <v>1</v>
      </c>
      <c r="E10" s="33" t="s">
        <v>1</v>
      </c>
      <c r="F10" s="33" t="str">
        <f>IFERROR(VLOOKUP(D10,'[1]SPU-HOME'!$C$6:$D$124,2,FALSE),"0")</f>
        <v>0</v>
      </c>
      <c r="G10" s="33" t="str">
        <f t="shared" ref="G10:G20" si="0">IFERROR(F10*E10,"")</f>
        <v/>
      </c>
      <c r="H10" s="93" t="str">
        <f>IFERROR(G10+G11+G12,"0")</f>
        <v>0</v>
      </c>
      <c r="I10" s="94" t="str">
        <f>H10</f>
        <v>0</v>
      </c>
      <c r="J10" s="92" t="s">
        <v>1</v>
      </c>
      <c r="K10" s="93" t="str">
        <f>IFERROR(H10/J10,"0")</f>
        <v>0</v>
      </c>
      <c r="L10" s="94" t="str">
        <f>K10</f>
        <v>0</v>
      </c>
    </row>
    <row r="11" spans="2:12" x14ac:dyDescent="0.35">
      <c r="B11" s="81"/>
      <c r="C11" s="92"/>
      <c r="D11" s="35" t="s">
        <v>1</v>
      </c>
      <c r="E11" s="33" t="s">
        <v>1</v>
      </c>
      <c r="F11" s="33" t="str">
        <f>IFERROR(VLOOKUP(D11,'[1]SPU-HOME'!$C$6:$D$124,2,FALSE),"0")</f>
        <v>0</v>
      </c>
      <c r="G11" s="33" t="str">
        <f t="shared" si="0"/>
        <v/>
      </c>
      <c r="H11" s="93"/>
      <c r="I11" s="94"/>
      <c r="J11" s="92"/>
      <c r="K11" s="93"/>
      <c r="L11" s="94"/>
    </row>
    <row r="12" spans="2:12" x14ac:dyDescent="0.35">
      <c r="B12" s="82"/>
      <c r="C12" s="92"/>
      <c r="D12" s="35" t="s">
        <v>1</v>
      </c>
      <c r="E12" s="33" t="s">
        <v>1</v>
      </c>
      <c r="F12" s="33" t="str">
        <f>IFERROR(VLOOKUP(D12,'[1]SPU-HOME'!$C$6:$D$124,2,FALSE),"0")</f>
        <v>0</v>
      </c>
      <c r="G12" s="33" t="str">
        <f>IFERROR(F12*E12,"0")</f>
        <v>0</v>
      </c>
      <c r="H12" s="93"/>
      <c r="I12" s="94"/>
      <c r="J12" s="92"/>
      <c r="K12" s="93"/>
      <c r="L12" s="94"/>
    </row>
    <row r="13" spans="2:12" x14ac:dyDescent="0.35">
      <c r="B13" s="80"/>
      <c r="C13" s="92"/>
      <c r="D13" s="35" t="s">
        <v>1</v>
      </c>
      <c r="E13" s="33" t="s">
        <v>1</v>
      </c>
      <c r="F13" s="33" t="str">
        <f>IFERROR(VLOOKUP(D13,'[1]SPU-HOME'!$C$6:$D$124,2,FALSE),"0")</f>
        <v>0</v>
      </c>
      <c r="G13" s="33" t="str">
        <f t="shared" si="0"/>
        <v/>
      </c>
      <c r="H13" s="93" t="str">
        <f>IFERROR(G13+G14+G15,"0")</f>
        <v>0</v>
      </c>
      <c r="I13" s="94" t="str">
        <f>H13</f>
        <v>0</v>
      </c>
      <c r="J13" s="92"/>
      <c r="K13" s="93" t="str">
        <f>IFERROR(H13/J13,"0")</f>
        <v>0</v>
      </c>
      <c r="L13" s="94" t="str">
        <f>K13</f>
        <v>0</v>
      </c>
    </row>
    <row r="14" spans="2:12" x14ac:dyDescent="0.35">
      <c r="B14" s="81"/>
      <c r="C14" s="92"/>
      <c r="D14" s="35" t="s">
        <v>1</v>
      </c>
      <c r="E14" s="33" t="s">
        <v>1</v>
      </c>
      <c r="F14" s="33" t="str">
        <f>IFERROR(VLOOKUP(D14,'[1]SPU-HOME'!$C$6:$D$124,2,FALSE),"0")</f>
        <v>0</v>
      </c>
      <c r="G14" s="33" t="str">
        <f t="shared" si="0"/>
        <v/>
      </c>
      <c r="H14" s="93"/>
      <c r="I14" s="94"/>
      <c r="J14" s="92"/>
      <c r="K14" s="93"/>
      <c r="L14" s="94"/>
    </row>
    <row r="15" spans="2:12" x14ac:dyDescent="0.35">
      <c r="B15" s="82"/>
      <c r="C15" s="92"/>
      <c r="D15" s="35" t="s">
        <v>1</v>
      </c>
      <c r="E15" s="33" t="s">
        <v>1</v>
      </c>
      <c r="F15" s="33" t="str">
        <f>IFERROR(VLOOKUP(D15,'[1]SPU-HOME'!$C$6:$D$124,2,FALSE),"0")</f>
        <v>0</v>
      </c>
      <c r="G15" s="33" t="str">
        <f>IFERROR(F15*E15,"0")</f>
        <v>0</v>
      </c>
      <c r="H15" s="93"/>
      <c r="I15" s="94"/>
      <c r="J15" s="92"/>
      <c r="K15" s="93"/>
      <c r="L15" s="94"/>
    </row>
    <row r="16" spans="2:12" x14ac:dyDescent="0.35">
      <c r="B16" s="80"/>
      <c r="C16" s="92"/>
      <c r="D16" s="33" t="s">
        <v>1</v>
      </c>
      <c r="E16" s="33"/>
      <c r="F16" s="33" t="str">
        <f>IFERROR(VLOOKUP(D16,'[1]SPU-HOME'!$C$6:$D$124,2,FALSE),"0")</f>
        <v>0</v>
      </c>
      <c r="G16" s="33">
        <f t="shared" si="0"/>
        <v>0</v>
      </c>
      <c r="H16" s="93">
        <f>IFERROR(G16+G17+G18+G19+G20,"0")</f>
        <v>0</v>
      </c>
      <c r="I16" s="94">
        <f>H17</f>
        <v>0</v>
      </c>
      <c r="J16" s="92"/>
      <c r="K16" s="93" t="str">
        <f>IFERROR(H16/I16,"0")</f>
        <v>0</v>
      </c>
      <c r="L16" s="94" t="str">
        <f>K16</f>
        <v>0</v>
      </c>
    </row>
    <row r="17" spans="2:12" x14ac:dyDescent="0.35">
      <c r="B17" s="81"/>
      <c r="C17" s="92"/>
      <c r="D17" s="33" t="s">
        <v>1</v>
      </c>
      <c r="E17" s="33"/>
      <c r="F17" s="33" t="str">
        <f>IFERROR(VLOOKUP(D17,'[1]SPU-HOME'!$C$6:$D$124,2,FALSE),"0")</f>
        <v>0</v>
      </c>
      <c r="G17" s="33">
        <f t="shared" si="0"/>
        <v>0</v>
      </c>
      <c r="H17" s="93"/>
      <c r="I17" s="94"/>
      <c r="J17" s="92"/>
      <c r="K17" s="93"/>
      <c r="L17" s="94"/>
    </row>
    <row r="18" spans="2:12" x14ac:dyDescent="0.35">
      <c r="B18" s="81"/>
      <c r="C18" s="92"/>
      <c r="D18" s="33" t="s">
        <v>1</v>
      </c>
      <c r="E18" s="33"/>
      <c r="F18" s="33" t="str">
        <f>IFERROR(VLOOKUP(D18,'[1]SPU-HOME'!$C$6:$D$124,2,FALSE),"0")</f>
        <v>0</v>
      </c>
      <c r="G18" s="33">
        <f t="shared" si="0"/>
        <v>0</v>
      </c>
      <c r="H18" s="93"/>
      <c r="I18" s="94"/>
      <c r="J18" s="92"/>
      <c r="K18" s="93"/>
      <c r="L18" s="94"/>
    </row>
    <row r="19" spans="2:12" x14ac:dyDescent="0.35">
      <c r="B19" s="81"/>
      <c r="C19" s="92"/>
      <c r="D19" s="33" t="s">
        <v>1</v>
      </c>
      <c r="E19" s="33"/>
      <c r="F19" s="33" t="str">
        <f>IFERROR(VLOOKUP(D19,'[1]SPU-HOME'!$C$6:$D$124,2,FALSE),"0")</f>
        <v>0</v>
      </c>
      <c r="G19" s="33">
        <f t="shared" si="0"/>
        <v>0</v>
      </c>
      <c r="H19" s="93"/>
      <c r="I19" s="94"/>
      <c r="J19" s="92"/>
      <c r="K19" s="93"/>
      <c r="L19" s="94"/>
    </row>
    <row r="20" spans="2:12" x14ac:dyDescent="0.35">
      <c r="B20" s="82"/>
      <c r="C20" s="92"/>
      <c r="D20" s="33" t="s">
        <v>1</v>
      </c>
      <c r="E20" s="33"/>
      <c r="F20" s="33" t="str">
        <f>IFERROR(VLOOKUP(D20,'[1]SPU-HOME'!$C$6:$D$124,2,FALSE),"0")</f>
        <v>0</v>
      </c>
      <c r="G20" s="33">
        <f t="shared" si="0"/>
        <v>0</v>
      </c>
      <c r="H20" s="93"/>
      <c r="I20" s="94"/>
      <c r="J20" s="92"/>
      <c r="K20" s="93"/>
      <c r="L20" s="94"/>
    </row>
  </sheetData>
  <mergeCells count="29">
    <mergeCell ref="B3:L4"/>
    <mergeCell ref="B13:B15"/>
    <mergeCell ref="C13:C15"/>
    <mergeCell ref="B16:B20"/>
    <mergeCell ref="C16:C20"/>
    <mergeCell ref="B7:B9"/>
    <mergeCell ref="C7:C9"/>
    <mergeCell ref="B10:B12"/>
    <mergeCell ref="C10:C12"/>
    <mergeCell ref="H13:H15"/>
    <mergeCell ref="H16:H20"/>
    <mergeCell ref="J7:J9"/>
    <mergeCell ref="J10:J12"/>
    <mergeCell ref="J13:J15"/>
    <mergeCell ref="J16:J20"/>
    <mergeCell ref="I13:I15"/>
    <mergeCell ref="I16:I20"/>
    <mergeCell ref="I7:I9"/>
    <mergeCell ref="I10:I12"/>
    <mergeCell ref="H7:H9"/>
    <mergeCell ref="H10:H12"/>
    <mergeCell ref="K7:K9"/>
    <mergeCell ref="K10:K12"/>
    <mergeCell ref="K13:K15"/>
    <mergeCell ref="K16:K20"/>
    <mergeCell ref="L7:L9"/>
    <mergeCell ref="L10:L12"/>
    <mergeCell ref="L13:L15"/>
    <mergeCell ref="L16:L20"/>
  </mergeCells>
  <pageMargins left="0.7" right="0.7" top="0.75" bottom="0.75" header="0.3" footer="0.3"/>
  <pageSetup paperSize="9" scale="58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T26"/>
  <sheetViews>
    <sheetView view="pageBreakPreview" topLeftCell="A4" zoomScale="60" zoomScaleNormal="70" workbookViewId="0">
      <selection activeCell="H32" sqref="H32"/>
    </sheetView>
  </sheetViews>
  <sheetFormatPr defaultColWidth="9.1796875" defaultRowHeight="15.5" x14ac:dyDescent="0.35"/>
  <cols>
    <col min="1" max="1" width="9.1796875" style="10"/>
    <col min="2" max="2" width="4.1796875" style="10" customWidth="1"/>
    <col min="3" max="3" width="5.1796875" style="10" customWidth="1"/>
    <col min="4" max="4" width="17.7265625" style="10" customWidth="1"/>
    <col min="5" max="5" width="16.54296875" style="10" customWidth="1"/>
    <col min="6" max="6" width="30.1796875" style="10" customWidth="1"/>
    <col min="7" max="7" width="26.81640625" style="10" bestFit="1" customWidth="1"/>
    <col min="8" max="8" width="33" style="10" customWidth="1"/>
    <col min="9" max="9" width="6.54296875" style="10" customWidth="1"/>
    <col min="10" max="10" width="5.7265625" style="10" customWidth="1"/>
    <col min="11" max="11" width="4.81640625" style="10" customWidth="1"/>
    <col min="12" max="12" width="25.453125" style="10" customWidth="1"/>
    <col min="13" max="13" width="12" style="10" customWidth="1"/>
    <col min="14" max="14" width="3.453125" style="10" customWidth="1"/>
    <col min="15" max="15" width="17.26953125" style="10" bestFit="1" customWidth="1"/>
    <col min="16" max="16" width="10" style="10" customWidth="1"/>
    <col min="17" max="17" width="2.81640625" style="10" customWidth="1"/>
    <col min="18" max="18" width="13.81640625" style="10" bestFit="1" customWidth="1"/>
    <col min="19" max="19" width="1.81640625" style="10" customWidth="1"/>
    <col min="20" max="16384" width="9.1796875" style="10"/>
  </cols>
  <sheetData>
    <row r="2" spans="3:20" ht="16" thickBot="1" x14ac:dyDescent="0.4"/>
    <row r="3" spans="3:20" ht="15.75" customHeight="1" x14ac:dyDescent="0.35">
      <c r="C3" s="49" t="s">
        <v>9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1"/>
      <c r="S3" s="8"/>
      <c r="T3" s="8"/>
    </row>
    <row r="4" spans="3:20" ht="15" customHeight="1" x14ac:dyDescent="0.35">
      <c r="C4" s="52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4"/>
      <c r="S4" s="8"/>
      <c r="T4" s="8"/>
    </row>
    <row r="5" spans="3:20" ht="15.75" customHeight="1" thickBot="1" x14ac:dyDescent="0.4">
      <c r="C5" s="55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7"/>
      <c r="S5" s="8"/>
      <c r="T5" s="8"/>
    </row>
    <row r="10" spans="3:20" ht="20.149999999999999" customHeight="1" x14ac:dyDescent="0.35">
      <c r="C10" s="67" t="s">
        <v>5</v>
      </c>
      <c r="D10" s="67" t="s">
        <v>10</v>
      </c>
      <c r="E10" s="67" t="s">
        <v>11</v>
      </c>
      <c r="F10" s="65" t="s">
        <v>8</v>
      </c>
      <c r="G10" s="66"/>
      <c r="H10" s="67" t="s">
        <v>12</v>
      </c>
      <c r="I10" s="67" t="s">
        <v>0</v>
      </c>
      <c r="K10" s="28" t="s">
        <v>5</v>
      </c>
      <c r="L10" s="28" t="s">
        <v>17</v>
      </c>
      <c r="M10" s="28" t="s">
        <v>47</v>
      </c>
      <c r="O10" s="96" t="s">
        <v>18</v>
      </c>
      <c r="P10" s="96"/>
      <c r="Q10" s="96"/>
      <c r="R10" s="96"/>
      <c r="S10" s="96"/>
      <c r="T10" s="96"/>
    </row>
    <row r="11" spans="3:20" ht="20.149999999999999" customHeight="1" x14ac:dyDescent="0.35">
      <c r="C11" s="68"/>
      <c r="D11" s="68"/>
      <c r="E11" s="68"/>
      <c r="F11" s="28" t="s">
        <v>2</v>
      </c>
      <c r="G11" s="28" t="s">
        <v>3</v>
      </c>
      <c r="H11" s="68"/>
      <c r="I11" s="68"/>
      <c r="K11" s="2">
        <v>1</v>
      </c>
      <c r="L11" s="2" t="s">
        <v>27</v>
      </c>
      <c r="M11" s="2">
        <f>E12</f>
        <v>0</v>
      </c>
    </row>
    <row r="12" spans="3:20" ht="20.149999999999999" customHeight="1" x14ac:dyDescent="0.35">
      <c r="C12" s="2">
        <v>1</v>
      </c>
      <c r="D12" s="2" t="s">
        <v>1</v>
      </c>
      <c r="E12" s="2">
        <v>0</v>
      </c>
      <c r="F12" s="26">
        <v>0</v>
      </c>
      <c r="G12" s="26">
        <v>0</v>
      </c>
      <c r="H12" s="26">
        <f>G12-F12</f>
        <v>0</v>
      </c>
      <c r="I12" s="2" t="s">
        <v>1</v>
      </c>
      <c r="K12" s="2">
        <v>2</v>
      </c>
      <c r="L12" s="2" t="s">
        <v>28</v>
      </c>
      <c r="M12" s="2">
        <v>0</v>
      </c>
      <c r="O12" s="10" t="s">
        <v>40</v>
      </c>
      <c r="P12" s="12" t="s">
        <v>43</v>
      </c>
      <c r="Q12" s="12" t="s">
        <v>53</v>
      </c>
      <c r="R12" s="12" t="s">
        <v>42</v>
      </c>
      <c r="S12" s="10" t="s">
        <v>1</v>
      </c>
      <c r="T12" s="10" t="s">
        <v>1</v>
      </c>
    </row>
    <row r="13" spans="3:20" ht="20.149999999999999" customHeight="1" x14ac:dyDescent="0.35">
      <c r="C13" s="2">
        <v>2</v>
      </c>
      <c r="D13" s="2"/>
      <c r="E13" s="2">
        <v>0</v>
      </c>
      <c r="F13" s="26">
        <v>0</v>
      </c>
      <c r="G13" s="26">
        <v>0</v>
      </c>
      <c r="H13" s="26">
        <f>G13-F13</f>
        <v>0</v>
      </c>
      <c r="I13" s="2"/>
      <c r="K13" s="2">
        <v>3</v>
      </c>
      <c r="L13" s="2" t="s">
        <v>32</v>
      </c>
      <c r="M13" s="5">
        <v>0</v>
      </c>
      <c r="O13" s="10" t="s">
        <v>1</v>
      </c>
      <c r="P13" s="61" t="s">
        <v>31</v>
      </c>
      <c r="Q13" s="61"/>
      <c r="R13" s="61"/>
    </row>
    <row r="14" spans="3:20" ht="20.149999999999999" customHeight="1" x14ac:dyDescent="0.35">
      <c r="C14" s="62" t="s">
        <v>30</v>
      </c>
      <c r="D14" s="63"/>
      <c r="E14" s="63"/>
      <c r="F14" s="63"/>
      <c r="G14" s="64"/>
      <c r="H14" s="5">
        <f>AVERAGE(H12:H13)</f>
        <v>0</v>
      </c>
      <c r="I14" s="2"/>
      <c r="K14" s="2">
        <v>4</v>
      </c>
      <c r="L14" s="2" t="s">
        <v>25</v>
      </c>
      <c r="M14" s="2">
        <v>0</v>
      </c>
      <c r="O14" s="11" t="s">
        <v>23</v>
      </c>
      <c r="P14" s="12">
        <f>M11</f>
        <v>0</v>
      </c>
      <c r="Q14" s="12" t="s">
        <v>53</v>
      </c>
      <c r="R14" s="12">
        <f>M12</f>
        <v>0</v>
      </c>
    </row>
    <row r="15" spans="3:20" ht="20.149999999999999" customHeight="1" x14ac:dyDescent="0.35">
      <c r="K15" s="71" t="s">
        <v>46</v>
      </c>
      <c r="L15" s="71"/>
      <c r="M15" s="71"/>
      <c r="O15" s="11"/>
      <c r="P15" s="69">
        <f>S7</f>
        <v>0</v>
      </c>
      <c r="Q15" s="69"/>
      <c r="R15" s="69"/>
    </row>
    <row r="16" spans="3:20" ht="20.149999999999999" customHeight="1" x14ac:dyDescent="0.35">
      <c r="K16" s="14">
        <v>5</v>
      </c>
      <c r="L16" s="14" t="s">
        <v>29</v>
      </c>
      <c r="M16" s="15" t="str">
        <f>P21</f>
        <v>0</v>
      </c>
      <c r="O16" s="11"/>
      <c r="P16" s="97" t="s">
        <v>1</v>
      </c>
      <c r="Q16" s="61"/>
      <c r="R16" s="61"/>
    </row>
    <row r="17" spans="3:18" x14ac:dyDescent="0.35">
      <c r="O17" s="11" t="s">
        <v>23</v>
      </c>
      <c r="P17" s="12">
        <f>P15*Q15*R15</f>
        <v>0</v>
      </c>
      <c r="Q17" s="12" t="s">
        <v>53</v>
      </c>
      <c r="R17" s="12">
        <f>M12</f>
        <v>0</v>
      </c>
    </row>
    <row r="18" spans="3:18" x14ac:dyDescent="0.35">
      <c r="I18" s="10" t="s">
        <v>1</v>
      </c>
      <c r="P18" s="69">
        <f>M13</f>
        <v>0</v>
      </c>
      <c r="Q18" s="60"/>
      <c r="R18" s="60"/>
    </row>
    <row r="19" spans="3:18" x14ac:dyDescent="0.35">
      <c r="C19" s="95" t="s">
        <v>13</v>
      </c>
      <c r="D19" s="95"/>
      <c r="E19" s="95"/>
    </row>
    <row r="20" spans="3:18" x14ac:dyDescent="0.35">
      <c r="C20" s="95" t="s">
        <v>14</v>
      </c>
      <c r="D20" s="95"/>
      <c r="E20" s="95"/>
      <c r="J20" s="9" t="s">
        <v>1</v>
      </c>
      <c r="K20" s="9"/>
      <c r="L20" s="9"/>
      <c r="M20" s="9"/>
      <c r="N20" s="10" t="s">
        <v>1</v>
      </c>
    </row>
    <row r="21" spans="3:18" x14ac:dyDescent="0.35">
      <c r="I21" s="10" t="s">
        <v>1</v>
      </c>
      <c r="J21" s="9" t="s">
        <v>1</v>
      </c>
      <c r="K21" s="9"/>
      <c r="L21" s="9"/>
      <c r="M21" s="9"/>
      <c r="O21" s="10" t="s">
        <v>44</v>
      </c>
      <c r="P21" s="13" t="str">
        <f>IFERROR($P$17/$P$18,"0")</f>
        <v>0</v>
      </c>
    </row>
    <row r="22" spans="3:18" x14ac:dyDescent="0.35">
      <c r="J22" s="9" t="s">
        <v>1</v>
      </c>
      <c r="K22" s="9"/>
      <c r="L22" s="9"/>
      <c r="M22" s="9"/>
    </row>
    <row r="23" spans="3:18" x14ac:dyDescent="0.35">
      <c r="J23" s="9" t="s">
        <v>1</v>
      </c>
      <c r="K23" s="9"/>
      <c r="L23" s="9"/>
      <c r="M23" s="9"/>
    </row>
    <row r="24" spans="3:18" x14ac:dyDescent="0.35">
      <c r="J24" s="9" t="s">
        <v>1</v>
      </c>
      <c r="K24" s="9"/>
      <c r="L24" s="9"/>
      <c r="M24" s="9"/>
    </row>
    <row r="25" spans="3:18" x14ac:dyDescent="0.35">
      <c r="J25" s="9" t="s">
        <v>1</v>
      </c>
      <c r="K25" s="9"/>
      <c r="L25" s="9"/>
      <c r="M25" s="9"/>
    </row>
    <row r="26" spans="3:18" x14ac:dyDescent="0.35">
      <c r="J26" s="9" t="s">
        <v>1</v>
      </c>
      <c r="K26" s="9"/>
      <c r="L26" s="9"/>
      <c r="M26" s="9"/>
    </row>
  </sheetData>
  <mergeCells count="16">
    <mergeCell ref="C3:R5"/>
    <mergeCell ref="P18:R18"/>
    <mergeCell ref="C19:E19"/>
    <mergeCell ref="C20:E20"/>
    <mergeCell ref="O10:T10"/>
    <mergeCell ref="D10:D11"/>
    <mergeCell ref="C10:C11"/>
    <mergeCell ref="P13:R13"/>
    <mergeCell ref="P16:R16"/>
    <mergeCell ref="C14:G14"/>
    <mergeCell ref="F10:G10"/>
    <mergeCell ref="E10:E11"/>
    <mergeCell ref="H10:H11"/>
    <mergeCell ref="I10:I11"/>
    <mergeCell ref="P15:R15"/>
    <mergeCell ref="K15:M15"/>
  </mergeCells>
  <pageMargins left="0.7" right="0.7" top="0.75" bottom="0.75" header="0.3" footer="0.3"/>
  <pageSetup paperSize="9" scale="34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X48"/>
  <sheetViews>
    <sheetView tabSelected="1" view="pageBreakPreview" topLeftCell="A18" zoomScale="60" zoomScaleNormal="55" workbookViewId="0">
      <selection activeCell="I24" sqref="I24"/>
    </sheetView>
  </sheetViews>
  <sheetFormatPr defaultRowHeight="14.5" x14ac:dyDescent="0.35"/>
  <cols>
    <col min="2" max="2" width="4.1796875" customWidth="1"/>
    <col min="3" max="3" width="20.453125" bestFit="1" customWidth="1"/>
    <col min="4" max="4" width="4.453125" customWidth="1"/>
    <col min="5" max="5" width="28.453125" customWidth="1"/>
    <col min="6" max="7" width="15.54296875" customWidth="1"/>
    <col min="8" max="8" width="17.1796875" customWidth="1"/>
    <col min="9" max="9" width="32.26953125" customWidth="1"/>
    <col min="10" max="10" width="5.54296875" customWidth="1"/>
    <col min="11" max="11" width="21.1796875" customWidth="1"/>
    <col min="12" max="12" width="2.453125" customWidth="1"/>
    <col min="13" max="13" width="29.7265625" customWidth="1"/>
    <col min="14" max="14" width="2.54296875" customWidth="1"/>
    <col min="15" max="15" width="3.81640625" customWidth="1"/>
    <col min="16" max="16" width="26.54296875" customWidth="1"/>
    <col min="17" max="17" width="11.81640625" bestFit="1" customWidth="1"/>
  </cols>
  <sheetData>
    <row r="1" spans="4:24" x14ac:dyDescent="0.35">
      <c r="E1" s="1"/>
    </row>
    <row r="2" spans="4:24" ht="15" thickBot="1" x14ac:dyDescent="0.4"/>
    <row r="3" spans="4:24" ht="15.75" customHeight="1" x14ac:dyDescent="0.35">
      <c r="D3" s="49" t="s">
        <v>38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8"/>
      <c r="Q3" s="8"/>
      <c r="R3" s="8"/>
      <c r="S3" s="8"/>
      <c r="T3" s="8"/>
      <c r="U3" s="8"/>
      <c r="V3" s="8"/>
      <c r="W3" s="8"/>
      <c r="X3" s="8"/>
    </row>
    <row r="4" spans="4:24" ht="15" customHeight="1" x14ac:dyDescent="0.35">
      <c r="D4" s="52"/>
      <c r="E4" s="53"/>
      <c r="F4" s="53"/>
      <c r="G4" s="53"/>
      <c r="H4" s="53"/>
      <c r="I4" s="53"/>
      <c r="J4" s="53"/>
      <c r="K4" s="53"/>
      <c r="L4" s="53"/>
      <c r="M4" s="53"/>
      <c r="N4" s="53"/>
      <c r="O4" s="54"/>
      <c r="P4" s="8"/>
      <c r="Q4" s="8"/>
      <c r="R4" s="8"/>
      <c r="S4" s="8"/>
      <c r="T4" s="8"/>
      <c r="U4" s="8"/>
      <c r="V4" s="8"/>
      <c r="W4" s="8"/>
      <c r="X4" s="8"/>
    </row>
    <row r="5" spans="4:24" ht="15.75" customHeight="1" thickBot="1" x14ac:dyDescent="0.4">
      <c r="D5" s="55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  <c r="P5" s="8"/>
      <c r="Q5" s="8"/>
      <c r="R5" s="8"/>
      <c r="S5" s="8"/>
      <c r="T5" s="8"/>
      <c r="U5" s="8"/>
      <c r="V5" s="8"/>
      <c r="W5" s="8"/>
      <c r="X5" s="8"/>
    </row>
    <row r="6" spans="4:24" x14ac:dyDescent="0.35"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4:24" x14ac:dyDescent="0.35"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4:24" ht="15.5" x14ac:dyDescent="0.35">
      <c r="D8" s="3"/>
      <c r="E8" s="3"/>
      <c r="F8" s="3"/>
      <c r="G8" s="3"/>
      <c r="H8" s="3"/>
      <c r="I8" s="3"/>
      <c r="J8" s="3"/>
      <c r="K8" s="3"/>
      <c r="L8" s="3"/>
      <c r="M8" s="16"/>
    </row>
    <row r="9" spans="4:24" ht="15.5" x14ac:dyDescent="0.35">
      <c r="D9" s="3"/>
      <c r="E9" s="3"/>
      <c r="F9" s="3"/>
      <c r="G9" s="3"/>
      <c r="H9" s="3"/>
      <c r="I9" s="3"/>
      <c r="J9" s="3"/>
      <c r="K9" s="3"/>
      <c r="L9" s="3"/>
      <c r="M9" s="16"/>
    </row>
    <row r="10" spans="4:24" ht="20.149999999999999" customHeight="1" x14ac:dyDescent="0.35">
      <c r="D10" s="67" t="s">
        <v>5</v>
      </c>
      <c r="E10" s="67" t="s">
        <v>10</v>
      </c>
      <c r="F10" s="67" t="s">
        <v>11</v>
      </c>
      <c r="G10" s="65" t="s">
        <v>8</v>
      </c>
      <c r="H10" s="66"/>
      <c r="I10" s="67" t="s">
        <v>12</v>
      </c>
      <c r="J10" s="71" t="s">
        <v>0</v>
      </c>
      <c r="K10" s="71"/>
      <c r="L10" s="3"/>
      <c r="M10" s="16"/>
    </row>
    <row r="11" spans="4:24" ht="20.149999999999999" customHeight="1" x14ac:dyDescent="0.35">
      <c r="D11" s="68"/>
      <c r="E11" s="68"/>
      <c r="F11" s="68"/>
      <c r="G11" s="28" t="s">
        <v>2</v>
      </c>
      <c r="H11" s="28" t="s">
        <v>3</v>
      </c>
      <c r="I11" s="68"/>
      <c r="J11" s="71"/>
      <c r="K11" s="71"/>
      <c r="L11" s="3"/>
      <c r="M11" s="16"/>
    </row>
    <row r="12" spans="4:24" ht="20.149999999999999" customHeight="1" x14ac:dyDescent="0.35">
      <c r="D12" s="2">
        <v>1</v>
      </c>
      <c r="E12" s="2" t="s">
        <v>1</v>
      </c>
      <c r="F12" s="2" t="s">
        <v>7</v>
      </c>
      <c r="G12" s="26">
        <v>0</v>
      </c>
      <c r="H12" s="26">
        <v>0</v>
      </c>
      <c r="I12" s="26">
        <f>H12-G12</f>
        <v>0</v>
      </c>
      <c r="J12" s="70" t="s">
        <v>1</v>
      </c>
      <c r="K12" s="70"/>
      <c r="L12" s="3"/>
      <c r="M12" s="16"/>
    </row>
    <row r="13" spans="4:24" ht="20.149999999999999" customHeight="1" x14ac:dyDescent="0.35">
      <c r="D13" s="2">
        <v>2</v>
      </c>
      <c r="E13" s="25"/>
      <c r="F13" s="25"/>
      <c r="G13" s="26">
        <v>0</v>
      </c>
      <c r="H13" s="26">
        <v>0</v>
      </c>
      <c r="I13" s="26">
        <f>H13-G13</f>
        <v>0</v>
      </c>
      <c r="J13" s="70" t="s">
        <v>1</v>
      </c>
      <c r="K13" s="70"/>
      <c r="L13" s="3"/>
      <c r="M13" s="16"/>
    </row>
    <row r="14" spans="4:24" ht="20.149999999999999" customHeight="1" x14ac:dyDescent="0.35">
      <c r="D14" s="62" t="s">
        <v>15</v>
      </c>
      <c r="E14" s="63"/>
      <c r="F14" s="63"/>
      <c r="G14" s="63"/>
      <c r="H14" s="64"/>
      <c r="I14" s="5">
        <f>AVERAGE(I12:I13)</f>
        <v>0</v>
      </c>
      <c r="J14" s="70" t="s">
        <v>1</v>
      </c>
      <c r="K14" s="70"/>
      <c r="L14" s="3"/>
      <c r="M14" s="16"/>
    </row>
    <row r="15" spans="4:24" ht="15.5" x14ac:dyDescent="0.35">
      <c r="D15" s="3"/>
      <c r="E15" s="3"/>
      <c r="F15" s="3"/>
      <c r="G15" s="3"/>
      <c r="H15" s="3"/>
      <c r="I15" s="3"/>
      <c r="J15" s="3"/>
      <c r="K15" s="16"/>
      <c r="L15" s="3"/>
      <c r="M15" s="16"/>
    </row>
    <row r="16" spans="4:24" ht="15.5" x14ac:dyDescent="0.35">
      <c r="D16" s="3"/>
      <c r="E16" s="3"/>
      <c r="F16" s="3"/>
      <c r="G16" s="3"/>
      <c r="H16" s="3"/>
      <c r="I16" s="3"/>
      <c r="J16" s="3"/>
      <c r="K16" s="3"/>
      <c r="L16" s="3"/>
      <c r="M16" s="16"/>
    </row>
    <row r="17" spans="4:15" ht="15.5" x14ac:dyDescent="0.35">
      <c r="D17" s="16"/>
      <c r="E17" s="16"/>
      <c r="F17" s="16"/>
      <c r="G17" s="16"/>
      <c r="H17" s="16"/>
      <c r="I17" s="16"/>
      <c r="J17" s="16"/>
      <c r="K17" s="3"/>
      <c r="L17" s="3"/>
      <c r="M17" s="16"/>
    </row>
    <row r="18" spans="4:15" ht="17.5" x14ac:dyDescent="0.35">
      <c r="G18" s="59" t="s">
        <v>45</v>
      </c>
      <c r="H18" s="59"/>
      <c r="I18" s="59"/>
      <c r="J18" s="59"/>
      <c r="K18" s="59"/>
      <c r="L18" s="59"/>
      <c r="M18" s="59"/>
      <c r="N18" s="59"/>
      <c r="O18" s="59"/>
    </row>
    <row r="19" spans="4:15" ht="20.149999999999999" customHeight="1" x14ac:dyDescent="0.35">
      <c r="D19" s="28" t="s">
        <v>5</v>
      </c>
      <c r="E19" s="28" t="s">
        <v>17</v>
      </c>
      <c r="F19" s="28" t="s">
        <v>47</v>
      </c>
      <c r="G19" s="10"/>
      <c r="H19" s="10"/>
      <c r="I19" s="10"/>
      <c r="J19" s="10"/>
      <c r="K19" s="17"/>
      <c r="L19" s="17"/>
      <c r="M19" s="17"/>
    </row>
    <row r="20" spans="4:15" ht="20.149999999999999" customHeight="1" x14ac:dyDescent="0.35">
      <c r="D20" s="2">
        <v>1</v>
      </c>
      <c r="E20" s="2" t="s">
        <v>27</v>
      </c>
      <c r="F20" s="2">
        <v>0</v>
      </c>
      <c r="G20" s="10"/>
      <c r="H20" s="10" t="s">
        <v>40</v>
      </c>
      <c r="I20" s="12" t="str">
        <f>E20</f>
        <v xml:space="preserve"> Volume Y (ml)</v>
      </c>
      <c r="J20" s="12" t="s">
        <v>52</v>
      </c>
      <c r="K20" s="12" t="str">
        <f>E21</f>
        <v>Konsentrasi Y (N, M)</v>
      </c>
      <c r="L20" s="10"/>
      <c r="M20" s="10"/>
    </row>
    <row r="21" spans="4:15" ht="20.149999999999999" customHeight="1" x14ac:dyDescent="0.35">
      <c r="D21" s="2">
        <v>2</v>
      </c>
      <c r="E21" s="2" t="s">
        <v>28</v>
      </c>
      <c r="F21" s="2">
        <v>0</v>
      </c>
      <c r="G21" s="10"/>
      <c r="H21" s="10" t="s">
        <v>1</v>
      </c>
      <c r="I21" s="61" t="s">
        <v>31</v>
      </c>
      <c r="J21" s="61"/>
      <c r="K21" s="61"/>
      <c r="L21" s="10" t="s">
        <v>1</v>
      </c>
      <c r="M21" s="10" t="s">
        <v>1</v>
      </c>
    </row>
    <row r="22" spans="4:15" ht="20.149999999999999" customHeight="1" x14ac:dyDescent="0.35">
      <c r="D22" s="2">
        <v>3</v>
      </c>
      <c r="E22" s="2" t="s">
        <v>32</v>
      </c>
      <c r="F22" s="5">
        <f>I14</f>
        <v>0</v>
      </c>
      <c r="G22" s="10"/>
      <c r="H22" s="10"/>
      <c r="I22" s="10"/>
      <c r="J22" s="10"/>
      <c r="K22" s="10"/>
      <c r="L22" s="10"/>
      <c r="M22" s="10"/>
    </row>
    <row r="23" spans="4:15" ht="20.149999999999999" customHeight="1" x14ac:dyDescent="0.35">
      <c r="D23" s="73" t="s">
        <v>46</v>
      </c>
      <c r="E23" s="73"/>
      <c r="F23" s="73"/>
      <c r="G23" s="10"/>
      <c r="L23" s="10"/>
      <c r="M23" s="10"/>
    </row>
    <row r="24" spans="4:15" ht="20.149999999999999" customHeight="1" x14ac:dyDescent="0.35">
      <c r="D24" s="2">
        <v>1</v>
      </c>
      <c r="E24" s="14" t="s">
        <v>29</v>
      </c>
      <c r="F24" s="15" t="str">
        <f>I30</f>
        <v>0</v>
      </c>
      <c r="G24" s="10"/>
      <c r="H24" s="11" t="s">
        <v>23</v>
      </c>
      <c r="I24" s="12">
        <f>F20</f>
        <v>0</v>
      </c>
      <c r="J24" s="12" t="s">
        <v>53</v>
      </c>
      <c r="K24" s="12">
        <f>F21</f>
        <v>0</v>
      </c>
      <c r="L24" s="10"/>
      <c r="M24" s="10"/>
    </row>
    <row r="25" spans="4:15" ht="15.5" x14ac:dyDescent="0.35">
      <c r="D25" s="10"/>
      <c r="E25" s="10"/>
      <c r="F25" s="10"/>
      <c r="G25" s="10"/>
      <c r="H25" s="11"/>
      <c r="I25" s="69">
        <f>F22</f>
        <v>0</v>
      </c>
      <c r="J25" s="69"/>
      <c r="K25" s="69"/>
      <c r="L25" s="10"/>
      <c r="M25" s="10"/>
    </row>
    <row r="26" spans="4:15" ht="15.5" x14ac:dyDescent="0.35">
      <c r="D26" s="10"/>
      <c r="E26" s="10"/>
      <c r="F26" s="10"/>
      <c r="G26" s="10"/>
      <c r="H26" s="11"/>
      <c r="I26" s="10"/>
      <c r="J26" s="10"/>
      <c r="K26" s="10"/>
      <c r="L26" s="10"/>
      <c r="M26" s="10"/>
    </row>
    <row r="27" spans="4:15" ht="15.5" x14ac:dyDescent="0.35">
      <c r="D27" s="10" t="s">
        <v>48</v>
      </c>
      <c r="E27" s="10" t="s">
        <v>49</v>
      </c>
      <c r="F27" s="10"/>
      <c r="G27" s="10"/>
      <c r="H27" s="11" t="s">
        <v>23</v>
      </c>
      <c r="I27" s="12">
        <f>I24*K24</f>
        <v>0</v>
      </c>
      <c r="J27" s="10"/>
      <c r="K27" s="10"/>
      <c r="L27" s="10"/>
      <c r="M27" s="10"/>
    </row>
    <row r="28" spans="4:15" ht="15.5" x14ac:dyDescent="0.35">
      <c r="D28" s="10" t="s">
        <v>50</v>
      </c>
      <c r="E28" s="10" t="s">
        <v>51</v>
      </c>
      <c r="F28" s="9"/>
      <c r="G28" s="10" t="s">
        <v>1</v>
      </c>
      <c r="H28" s="10"/>
      <c r="I28" s="18">
        <f>I25</f>
        <v>0</v>
      </c>
      <c r="J28" s="10"/>
      <c r="K28" s="10" t="s">
        <v>1</v>
      </c>
      <c r="L28" s="10"/>
      <c r="M28" s="10"/>
    </row>
    <row r="29" spans="4:15" ht="15.5" x14ac:dyDescent="0.35">
      <c r="D29" s="9"/>
      <c r="E29" s="9"/>
      <c r="F29" s="9"/>
      <c r="G29" s="10"/>
      <c r="H29" s="10"/>
      <c r="I29" s="10"/>
      <c r="J29" s="10"/>
      <c r="K29" s="10"/>
      <c r="L29" s="10"/>
      <c r="M29" s="10"/>
    </row>
    <row r="30" spans="4:15" ht="15.5" x14ac:dyDescent="0.35">
      <c r="D30" s="16"/>
      <c r="E30" s="16"/>
      <c r="F30" s="16"/>
      <c r="G30" s="16"/>
      <c r="H30" s="10" t="s">
        <v>40</v>
      </c>
      <c r="I30" s="13" t="str">
        <f>IFERROR(I27/I28,"0")</f>
        <v>0</v>
      </c>
      <c r="J30" s="10"/>
      <c r="K30" s="10"/>
      <c r="L30" s="10"/>
      <c r="M30" s="10"/>
    </row>
    <row r="31" spans="4:15" ht="15.5" x14ac:dyDescent="0.35">
      <c r="D31" s="16"/>
      <c r="E31" s="16"/>
      <c r="F31" s="16"/>
      <c r="G31" s="16"/>
      <c r="H31" s="16"/>
      <c r="I31" s="16"/>
      <c r="J31" s="16"/>
      <c r="K31" s="10"/>
      <c r="L31" s="16"/>
      <c r="M31" s="16"/>
    </row>
    <row r="32" spans="4:15" x14ac:dyDescent="0.35"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spans="4:16" ht="20.149999999999999" customHeight="1" x14ac:dyDescent="0.35">
      <c r="D33" s="7" t="s">
        <v>16</v>
      </c>
      <c r="E33" s="7" t="s">
        <v>17</v>
      </c>
      <c r="F33" s="7" t="s">
        <v>57</v>
      </c>
      <c r="G33" s="58" t="s">
        <v>39</v>
      </c>
      <c r="H33" s="59"/>
      <c r="I33" s="59"/>
      <c r="J33" s="59"/>
      <c r="K33" s="59"/>
      <c r="L33" s="59"/>
      <c r="M33" s="59"/>
      <c r="N33" s="59"/>
      <c r="O33" s="59"/>
    </row>
    <row r="34" spans="4:16" ht="20.149999999999999" customHeight="1" x14ac:dyDescent="0.35">
      <c r="D34" s="2">
        <v>1</v>
      </c>
      <c r="E34" s="2" t="s">
        <v>19</v>
      </c>
      <c r="F34" s="2">
        <v>0</v>
      </c>
      <c r="G34" s="16"/>
      <c r="H34" s="16"/>
      <c r="I34" s="16"/>
      <c r="J34" s="16"/>
      <c r="K34" s="17"/>
      <c r="L34" s="17"/>
      <c r="M34" s="17"/>
    </row>
    <row r="35" spans="4:16" ht="20.149999999999999" customHeight="1" x14ac:dyDescent="0.35">
      <c r="D35" s="2">
        <v>2</v>
      </c>
      <c r="E35" s="2" t="s">
        <v>56</v>
      </c>
      <c r="F35" s="2" t="s">
        <v>1</v>
      </c>
      <c r="G35" s="16"/>
      <c r="H35" s="16"/>
      <c r="I35" s="16"/>
      <c r="J35" s="16"/>
      <c r="K35" s="17"/>
      <c r="L35" s="17"/>
      <c r="M35" s="17"/>
    </row>
    <row r="36" spans="4:16" ht="20.149999999999999" customHeight="1" x14ac:dyDescent="0.35">
      <c r="D36" s="2">
        <v>3</v>
      </c>
      <c r="E36" s="2" t="s">
        <v>55</v>
      </c>
      <c r="F36" s="2" t="str">
        <f>IFERROR(VLOOKUP(F35,'SPU KIMIA'!C7:D124,2,FALSE),"0")</f>
        <v>0</v>
      </c>
      <c r="G36" s="16"/>
      <c r="H36" s="19" t="s">
        <v>20</v>
      </c>
      <c r="I36" s="12" t="str">
        <f>E34</f>
        <v xml:space="preserve"> Volume titrasi (ml)</v>
      </c>
      <c r="J36" s="10" t="s">
        <v>53</v>
      </c>
      <c r="K36" s="12" t="str">
        <f>E36</f>
        <v>Ar/Mr/ (g/mol)</v>
      </c>
      <c r="L36" s="10" t="s">
        <v>53</v>
      </c>
      <c r="M36" s="12" t="str">
        <f>E37</f>
        <v>Konsentrasi Penitar (N, M)</v>
      </c>
      <c r="N36" s="10" t="s">
        <v>53</v>
      </c>
      <c r="O36" s="12" t="s">
        <v>21</v>
      </c>
      <c r="P36" s="20"/>
    </row>
    <row r="37" spans="4:16" ht="20.149999999999999" customHeight="1" x14ac:dyDescent="0.35">
      <c r="D37" s="2">
        <v>4</v>
      </c>
      <c r="E37" s="2" t="s">
        <v>22</v>
      </c>
      <c r="F37" s="4" t="str">
        <f>I30</f>
        <v>0</v>
      </c>
      <c r="G37" s="16"/>
      <c r="H37" s="3" t="s">
        <v>1</v>
      </c>
      <c r="I37" s="60" t="str">
        <f>E38</f>
        <v>Volume Sampel (ml)</v>
      </c>
      <c r="J37" s="60"/>
      <c r="K37" s="60"/>
      <c r="L37" s="60"/>
      <c r="M37" s="60"/>
      <c r="N37" s="60"/>
      <c r="O37" s="60"/>
      <c r="P37" s="20"/>
    </row>
    <row r="38" spans="4:16" ht="20.149999999999999" customHeight="1" x14ac:dyDescent="0.35">
      <c r="D38" s="2">
        <v>5</v>
      </c>
      <c r="E38" s="2" t="s">
        <v>4</v>
      </c>
      <c r="F38" s="2">
        <v>0</v>
      </c>
      <c r="G38" s="16"/>
      <c r="H38" s="3"/>
      <c r="I38" s="3"/>
      <c r="J38" s="3"/>
      <c r="K38" s="22"/>
      <c r="L38" s="22" t="s">
        <v>1</v>
      </c>
      <c r="M38" s="3"/>
      <c r="N38" s="20"/>
      <c r="O38" s="20"/>
      <c r="P38" s="20"/>
    </row>
    <row r="39" spans="4:16" ht="20.149999999999999" customHeight="1" x14ac:dyDescent="0.35">
      <c r="D39" s="2">
        <v>6</v>
      </c>
      <c r="E39" s="2" t="s">
        <v>24</v>
      </c>
      <c r="F39" s="2">
        <v>0</v>
      </c>
      <c r="G39" s="16"/>
      <c r="H39" s="19" t="s">
        <v>23</v>
      </c>
      <c r="I39" s="12">
        <f>F34</f>
        <v>0</v>
      </c>
      <c r="J39" s="12" t="s">
        <v>53</v>
      </c>
      <c r="K39" s="12" t="str">
        <f>F36</f>
        <v>0</v>
      </c>
      <c r="L39" s="12" t="s">
        <v>53</v>
      </c>
      <c r="M39" s="21" t="str">
        <f>F37</f>
        <v>0</v>
      </c>
      <c r="N39" s="12" t="s">
        <v>53</v>
      </c>
      <c r="O39" s="23">
        <f>F40</f>
        <v>0</v>
      </c>
      <c r="P39" s="20"/>
    </row>
    <row r="40" spans="4:16" ht="20.149999999999999" customHeight="1" x14ac:dyDescent="0.35">
      <c r="D40" s="2">
        <v>7</v>
      </c>
      <c r="E40" s="2" t="s">
        <v>25</v>
      </c>
      <c r="F40" s="2">
        <v>0</v>
      </c>
      <c r="G40" s="16"/>
      <c r="H40" s="3"/>
      <c r="I40" s="72">
        <f>F38</f>
        <v>0</v>
      </c>
      <c r="J40" s="72"/>
      <c r="K40" s="72"/>
      <c r="L40" s="72"/>
      <c r="M40" s="72"/>
      <c r="N40" s="72"/>
      <c r="O40" s="72"/>
      <c r="P40" s="20"/>
    </row>
    <row r="41" spans="4:16" ht="20.149999999999999" customHeight="1" x14ac:dyDescent="0.35">
      <c r="D41" s="73" t="s">
        <v>46</v>
      </c>
      <c r="E41" s="73"/>
      <c r="F41" s="73"/>
      <c r="G41" s="16"/>
      <c r="H41" s="3"/>
      <c r="I41" s="22"/>
      <c r="J41" s="22"/>
      <c r="K41" s="22"/>
      <c r="L41" s="22"/>
      <c r="M41" s="22"/>
      <c r="N41" s="22"/>
      <c r="O41" s="22"/>
      <c r="P41" s="20"/>
    </row>
    <row r="42" spans="4:16" ht="20.149999999999999" customHeight="1" x14ac:dyDescent="0.35">
      <c r="D42" s="2">
        <v>1</v>
      </c>
      <c r="E42" s="2" t="s">
        <v>26</v>
      </c>
      <c r="F42" s="4" t="str">
        <f>I46</f>
        <v>0</v>
      </c>
      <c r="G42" s="16"/>
      <c r="H42" s="3"/>
      <c r="I42" s="3"/>
      <c r="J42" s="22"/>
      <c r="K42" s="22"/>
      <c r="L42" s="22"/>
      <c r="M42" s="22"/>
      <c r="N42" s="20"/>
      <c r="O42" s="20"/>
      <c r="P42" s="20"/>
    </row>
    <row r="43" spans="4:16" ht="15.5" x14ac:dyDescent="0.35">
      <c r="D43" s="16"/>
      <c r="E43" s="16"/>
      <c r="F43" s="16"/>
      <c r="G43" s="16"/>
      <c r="H43" s="19" t="s">
        <v>23</v>
      </c>
      <c r="I43" s="12">
        <f>I39*K39*M39*O39</f>
        <v>0</v>
      </c>
      <c r="J43" s="3"/>
      <c r="K43" s="22"/>
      <c r="L43" s="3"/>
      <c r="M43" s="3"/>
      <c r="N43" s="20"/>
      <c r="O43" s="20"/>
      <c r="P43" s="20"/>
    </row>
    <row r="44" spans="4:16" ht="15.5" x14ac:dyDescent="0.35">
      <c r="D44" s="6" t="s">
        <v>1</v>
      </c>
      <c r="E44" s="16"/>
      <c r="F44" s="16"/>
      <c r="G44" s="16"/>
      <c r="H44" s="3"/>
      <c r="I44" s="22">
        <f>F38</f>
        <v>0</v>
      </c>
      <c r="J44" s="3" t="s">
        <v>1</v>
      </c>
      <c r="K44" s="3"/>
      <c r="L44" s="3"/>
      <c r="M44" s="3"/>
      <c r="N44" s="20"/>
      <c r="O44" s="20"/>
      <c r="P44" s="20"/>
    </row>
    <row r="45" spans="4:16" ht="15.5" x14ac:dyDescent="0.35">
      <c r="D45" s="6" t="s">
        <v>1</v>
      </c>
      <c r="E45" s="16"/>
      <c r="F45" s="16"/>
      <c r="G45" s="16"/>
      <c r="H45" s="3"/>
      <c r="I45" s="3"/>
      <c r="J45" s="3"/>
      <c r="K45" s="3"/>
      <c r="L45" s="3" t="s">
        <v>1</v>
      </c>
      <c r="M45" s="3"/>
      <c r="N45" s="20"/>
      <c r="O45" s="20"/>
      <c r="P45" s="20"/>
    </row>
    <row r="46" spans="4:16" ht="15.5" x14ac:dyDescent="0.35">
      <c r="D46" s="16"/>
      <c r="E46" s="16"/>
      <c r="F46" s="16"/>
      <c r="G46" s="16"/>
      <c r="H46" s="3" t="s">
        <v>20</v>
      </c>
      <c r="I46" s="13" t="str">
        <f>IFERROR(I43/I44,"0")</f>
        <v>0</v>
      </c>
      <c r="J46" s="3"/>
      <c r="K46" s="3"/>
      <c r="L46" s="3"/>
      <c r="M46" s="3"/>
      <c r="N46" s="20"/>
      <c r="O46" s="20"/>
      <c r="P46" s="20"/>
    </row>
    <row r="47" spans="4:16" x14ac:dyDescent="0.35">
      <c r="D47" s="16"/>
      <c r="E47" t="s">
        <v>13</v>
      </c>
      <c r="F47" s="16"/>
      <c r="G47" s="16"/>
      <c r="H47" s="16"/>
      <c r="I47" s="16"/>
      <c r="J47" s="16"/>
      <c r="K47" s="16"/>
      <c r="L47" s="16"/>
      <c r="M47" s="16"/>
    </row>
    <row r="48" spans="4:16" x14ac:dyDescent="0.35">
      <c r="E48" t="s">
        <v>14</v>
      </c>
      <c r="K48" s="16"/>
      <c r="L48" s="16"/>
      <c r="M48" s="16"/>
    </row>
  </sheetData>
  <mergeCells count="19">
    <mergeCell ref="I40:O40"/>
    <mergeCell ref="D23:F23"/>
    <mergeCell ref="D41:F41"/>
    <mergeCell ref="D3:O5"/>
    <mergeCell ref="G33:O33"/>
    <mergeCell ref="G18:O18"/>
    <mergeCell ref="I37:O37"/>
    <mergeCell ref="I21:K21"/>
    <mergeCell ref="D14:H14"/>
    <mergeCell ref="G10:H10"/>
    <mergeCell ref="I10:I11"/>
    <mergeCell ref="F10:F11"/>
    <mergeCell ref="E10:E11"/>
    <mergeCell ref="D10:D11"/>
    <mergeCell ref="I25:K25"/>
    <mergeCell ref="J12:K12"/>
    <mergeCell ref="J13:K13"/>
    <mergeCell ref="J14:K14"/>
    <mergeCell ref="J10:K11"/>
  </mergeCells>
  <pageMargins left="0.7" right="0.7" top="0.75" bottom="0.75" header="0.3" footer="0.3"/>
  <pageSetup paperSize="9" scale="36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U47"/>
  <sheetViews>
    <sheetView view="pageBreakPreview" zoomScale="44" zoomScaleNormal="70" zoomScaleSheetLayoutView="25" workbookViewId="0">
      <selection activeCell="G13" sqref="G13"/>
    </sheetView>
  </sheetViews>
  <sheetFormatPr defaultColWidth="9.1796875" defaultRowHeight="15.5" x14ac:dyDescent="0.35"/>
  <cols>
    <col min="1" max="1" width="9.1796875" style="10"/>
    <col min="2" max="2" width="4.1796875" style="10" customWidth="1"/>
    <col min="3" max="3" width="5.1796875" style="10" customWidth="1"/>
    <col min="4" max="4" width="29.7265625" style="10" customWidth="1"/>
    <col min="5" max="5" width="21.81640625" style="10" customWidth="1"/>
    <col min="6" max="6" width="30.1796875" style="10" customWidth="1"/>
    <col min="7" max="7" width="26.81640625" style="10" bestFit="1" customWidth="1"/>
    <col min="8" max="8" width="39.453125" style="10" customWidth="1"/>
    <col min="9" max="9" width="27.7265625" style="10" customWidth="1"/>
    <col min="10" max="10" width="19.54296875" style="10" customWidth="1"/>
    <col min="11" max="11" width="2.7265625" style="10" customWidth="1"/>
    <col min="12" max="12" width="29.7265625" style="10" customWidth="1"/>
    <col min="13" max="13" width="2.7265625" style="10" customWidth="1"/>
    <col min="14" max="14" width="4.26953125" style="10" customWidth="1"/>
    <col min="15" max="15" width="14.7265625" style="10" customWidth="1"/>
    <col min="16" max="16" width="11.1796875" style="10" customWidth="1"/>
    <col min="17" max="17" width="3.26953125" style="10" customWidth="1"/>
    <col min="18" max="18" width="19.54296875" style="10" customWidth="1"/>
    <col min="19" max="19" width="3.26953125" style="10" customWidth="1"/>
    <col min="20" max="20" width="23" style="10" bestFit="1" customWidth="1"/>
    <col min="21" max="21" width="3.26953125" style="10" customWidth="1"/>
    <col min="22" max="22" width="4.1796875" style="10" customWidth="1"/>
    <col min="23" max="16384" width="9.1796875" style="10"/>
  </cols>
  <sheetData>
    <row r="2" spans="3:21" ht="16" thickBot="1" x14ac:dyDescent="0.4"/>
    <row r="3" spans="3:21" ht="15.75" customHeight="1" x14ac:dyDescent="0.35">
      <c r="C3" s="49" t="s">
        <v>6</v>
      </c>
      <c r="D3" s="50"/>
      <c r="E3" s="50"/>
      <c r="F3" s="50"/>
      <c r="G3" s="50"/>
      <c r="H3" s="50"/>
      <c r="I3" s="50"/>
      <c r="J3" s="50"/>
      <c r="K3" s="50"/>
      <c r="L3" s="50"/>
      <c r="M3" s="50"/>
      <c r="N3" s="51"/>
      <c r="O3" s="8"/>
      <c r="P3" s="8"/>
      <c r="Q3" s="8"/>
      <c r="R3" s="8"/>
      <c r="S3" s="8"/>
      <c r="T3" s="8"/>
      <c r="U3" s="8"/>
    </row>
    <row r="4" spans="3:21" ht="15" customHeight="1" x14ac:dyDescent="0.35">
      <c r="C4" s="52"/>
      <c r="D4" s="53"/>
      <c r="E4" s="53"/>
      <c r="F4" s="53"/>
      <c r="G4" s="53"/>
      <c r="H4" s="53"/>
      <c r="I4" s="53"/>
      <c r="J4" s="53"/>
      <c r="K4" s="53"/>
      <c r="L4" s="53"/>
      <c r="M4" s="53"/>
      <c r="N4" s="54"/>
      <c r="O4" s="8"/>
      <c r="P4" s="8"/>
      <c r="Q4" s="8"/>
      <c r="R4" s="8"/>
      <c r="S4" s="8"/>
      <c r="T4" s="8"/>
      <c r="U4" s="8"/>
    </row>
    <row r="5" spans="3:21" ht="15.75" customHeight="1" thickBot="1" x14ac:dyDescent="0.4">
      <c r="C5" s="55"/>
      <c r="D5" s="56"/>
      <c r="E5" s="56"/>
      <c r="F5" s="56"/>
      <c r="G5" s="56"/>
      <c r="H5" s="56"/>
      <c r="I5" s="56"/>
      <c r="J5" s="56"/>
      <c r="K5" s="56"/>
      <c r="L5" s="56"/>
      <c r="M5" s="56"/>
      <c r="N5" s="57"/>
      <c r="O5" s="8"/>
      <c r="P5" s="8"/>
      <c r="Q5" s="8"/>
      <c r="R5" s="8"/>
      <c r="S5" s="8"/>
      <c r="T5" s="8"/>
      <c r="U5" s="8"/>
    </row>
    <row r="10" spans="3:21" ht="20.149999999999999" customHeight="1" x14ac:dyDescent="0.35">
      <c r="C10" s="67" t="s">
        <v>5</v>
      </c>
      <c r="D10" s="67" t="s">
        <v>36</v>
      </c>
      <c r="E10" s="67" t="s">
        <v>33</v>
      </c>
      <c r="F10" s="65" t="s">
        <v>34</v>
      </c>
      <c r="G10" s="66"/>
      <c r="H10" s="67" t="s">
        <v>35</v>
      </c>
      <c r="I10" s="67" t="s">
        <v>0</v>
      </c>
    </row>
    <row r="11" spans="3:21" ht="20.149999999999999" customHeight="1" x14ac:dyDescent="0.35">
      <c r="C11" s="68"/>
      <c r="D11" s="68"/>
      <c r="E11" s="68"/>
      <c r="F11" s="28" t="s">
        <v>2</v>
      </c>
      <c r="G11" s="28" t="s">
        <v>3</v>
      </c>
      <c r="H11" s="68"/>
      <c r="I11" s="68"/>
    </row>
    <row r="12" spans="3:21" ht="20.149999999999999" customHeight="1" x14ac:dyDescent="0.35">
      <c r="C12" s="2">
        <v>1</v>
      </c>
      <c r="D12" s="2" t="s">
        <v>1</v>
      </c>
      <c r="E12" s="2">
        <v>0</v>
      </c>
      <c r="F12" s="26">
        <v>0</v>
      </c>
      <c r="G12" s="26">
        <v>0</v>
      </c>
      <c r="H12" s="26">
        <f>G12-F12</f>
        <v>0</v>
      </c>
      <c r="I12" s="2"/>
    </row>
    <row r="13" spans="3:21" ht="20.149999999999999" customHeight="1" x14ac:dyDescent="0.35">
      <c r="C13" s="2">
        <v>2</v>
      </c>
      <c r="D13" s="2"/>
      <c r="E13" s="2">
        <v>0</v>
      </c>
      <c r="F13" s="26">
        <v>0</v>
      </c>
      <c r="G13" s="26">
        <v>0</v>
      </c>
      <c r="H13" s="26">
        <f>G13-F13</f>
        <v>0</v>
      </c>
      <c r="I13" s="2"/>
    </row>
    <row r="14" spans="3:21" ht="20.149999999999999" customHeight="1" x14ac:dyDescent="0.35">
      <c r="C14" s="62" t="s">
        <v>54</v>
      </c>
      <c r="D14" s="63"/>
      <c r="E14" s="63"/>
      <c r="F14" s="63"/>
      <c r="G14" s="64"/>
      <c r="H14" s="5">
        <f>AVERAGE(H12:H13)</f>
        <v>0</v>
      </c>
      <c r="I14" s="2"/>
    </row>
    <row r="18" spans="3:21" ht="20.149999999999999" customHeight="1" x14ac:dyDescent="0.35">
      <c r="C18" s="28" t="s">
        <v>5</v>
      </c>
      <c r="D18" s="28" t="s">
        <v>17</v>
      </c>
      <c r="E18" s="28" t="s">
        <v>57</v>
      </c>
      <c r="G18" s="96" t="s">
        <v>18</v>
      </c>
      <c r="H18" s="96"/>
      <c r="I18" s="96"/>
      <c r="J18" s="96"/>
      <c r="K18" s="96"/>
      <c r="L18" s="96"/>
    </row>
    <row r="19" spans="3:21" ht="20.149999999999999" customHeight="1" x14ac:dyDescent="0.35">
      <c r="C19" s="2">
        <v>1</v>
      </c>
      <c r="D19" s="2" t="s">
        <v>41</v>
      </c>
      <c r="E19" s="5">
        <f>H14</f>
        <v>0</v>
      </c>
    </row>
    <row r="20" spans="3:21" ht="20.149999999999999" customHeight="1" x14ac:dyDescent="0.35">
      <c r="C20" s="2">
        <v>2</v>
      </c>
      <c r="D20" s="2" t="s">
        <v>56</v>
      </c>
      <c r="E20" s="5" t="s">
        <v>1</v>
      </c>
    </row>
    <row r="21" spans="3:21" ht="20.149999999999999" customHeight="1" x14ac:dyDescent="0.35">
      <c r="C21" s="2">
        <v>3</v>
      </c>
      <c r="D21" s="2" t="s">
        <v>55</v>
      </c>
      <c r="E21" s="2" t="str">
        <f>IFERROR(VLOOKUP(E20,'SPU KIMIA'!C7:D124,2,FALSE),"0")</f>
        <v>0</v>
      </c>
      <c r="G21" s="19" t="s">
        <v>20</v>
      </c>
      <c r="H21" s="12" t="str">
        <f>D19</f>
        <v xml:space="preserve"> Volume rata2 titrasi (ml)</v>
      </c>
      <c r="I21" s="10" t="s">
        <v>53</v>
      </c>
      <c r="J21" s="12" t="str">
        <f>D21</f>
        <v>Ar/Mr/ (g/mol)</v>
      </c>
      <c r="K21" s="10" t="s">
        <v>53</v>
      </c>
      <c r="L21" s="12" t="str">
        <f>D22</f>
        <v>Konsentrasi Penitar (N, M)</v>
      </c>
      <c r="M21" s="10" t="s">
        <v>53</v>
      </c>
      <c r="N21" s="12" t="s">
        <v>21</v>
      </c>
    </row>
    <row r="22" spans="3:21" ht="20.149999999999999" customHeight="1" x14ac:dyDescent="0.35">
      <c r="C22" s="2">
        <v>4</v>
      </c>
      <c r="D22" s="2" t="s">
        <v>22</v>
      </c>
      <c r="E22" s="2">
        <v>0</v>
      </c>
      <c r="G22" s="3" t="s">
        <v>1</v>
      </c>
      <c r="H22" s="60" t="str">
        <f>D23</f>
        <v>Volume Sampel (ml)</v>
      </c>
      <c r="I22" s="60"/>
      <c r="J22" s="60"/>
      <c r="K22" s="60"/>
      <c r="L22" s="60"/>
      <c r="M22" s="60"/>
      <c r="N22" s="60"/>
    </row>
    <row r="23" spans="3:21" ht="20.149999999999999" customHeight="1" x14ac:dyDescent="0.35">
      <c r="C23" s="2">
        <v>5</v>
      </c>
      <c r="D23" s="2" t="s">
        <v>4</v>
      </c>
      <c r="E23" s="2">
        <v>0</v>
      </c>
      <c r="O23" s="10" t="s">
        <v>1</v>
      </c>
    </row>
    <row r="24" spans="3:21" ht="20.149999999999999" customHeight="1" x14ac:dyDescent="0.35">
      <c r="C24" s="2">
        <v>6</v>
      </c>
      <c r="D24" s="2" t="s">
        <v>25</v>
      </c>
      <c r="E24" s="2">
        <v>0</v>
      </c>
      <c r="G24" s="19" t="s">
        <v>23</v>
      </c>
      <c r="H24" s="12">
        <f>E19</f>
        <v>0</v>
      </c>
      <c r="I24" s="12" t="s">
        <v>53</v>
      </c>
      <c r="J24" s="12" t="str">
        <f>E21</f>
        <v>0</v>
      </c>
      <c r="K24" s="12" t="s">
        <v>53</v>
      </c>
      <c r="L24" s="12">
        <f>E22</f>
        <v>0</v>
      </c>
      <c r="M24" s="12" t="s">
        <v>53</v>
      </c>
      <c r="N24" s="24">
        <f>E24</f>
        <v>0</v>
      </c>
      <c r="U24" s="1"/>
    </row>
    <row r="25" spans="3:21" ht="20.149999999999999" customHeight="1" x14ac:dyDescent="0.35">
      <c r="C25" s="98" t="s">
        <v>46</v>
      </c>
      <c r="D25" s="98"/>
      <c r="E25" s="98"/>
      <c r="G25" s="19"/>
      <c r="H25" s="60">
        <f>E23</f>
        <v>0</v>
      </c>
      <c r="I25" s="60"/>
      <c r="J25" s="60"/>
      <c r="K25" s="60"/>
      <c r="L25" s="60"/>
      <c r="M25" s="60"/>
      <c r="N25" s="60"/>
      <c r="U25"/>
    </row>
    <row r="26" spans="3:21" ht="20.149999999999999" customHeight="1" x14ac:dyDescent="0.35">
      <c r="C26" s="2">
        <v>1</v>
      </c>
      <c r="D26" s="2" t="s">
        <v>26</v>
      </c>
      <c r="E26" s="29" t="str">
        <f>H30</f>
        <v>0</v>
      </c>
      <c r="G26" s="3"/>
      <c r="T26"/>
      <c r="U26"/>
    </row>
    <row r="27" spans="3:21" x14ac:dyDescent="0.35">
      <c r="H27" s="12">
        <f>PRODUCT(H24:N24)</f>
        <v>0</v>
      </c>
      <c r="T27" t="s">
        <v>1</v>
      </c>
      <c r="U27"/>
    </row>
    <row r="28" spans="3:21" x14ac:dyDescent="0.35">
      <c r="G28" s="11" t="s">
        <v>23</v>
      </c>
      <c r="H28" s="10">
        <f>E23</f>
        <v>0</v>
      </c>
      <c r="I28" s="10" t="s">
        <v>1</v>
      </c>
      <c r="R28" s="1" t="s">
        <v>1</v>
      </c>
      <c r="T28"/>
      <c r="U28"/>
    </row>
    <row r="29" spans="3:21" x14ac:dyDescent="0.35">
      <c r="R29" s="1"/>
      <c r="S29" s="1"/>
      <c r="T29"/>
      <c r="U29"/>
    </row>
    <row r="30" spans="3:21" x14ac:dyDescent="0.35">
      <c r="C30" s="9"/>
      <c r="D30" s="9"/>
      <c r="E30" s="9"/>
      <c r="F30" s="10" t="s">
        <v>1</v>
      </c>
      <c r="G30" s="11" t="s">
        <v>20</v>
      </c>
      <c r="H30" s="27" t="str">
        <f>IFERROR(H27/P23,"0")</f>
        <v>0</v>
      </c>
      <c r="R30"/>
      <c r="S30"/>
    </row>
    <row r="31" spans="3:21" x14ac:dyDescent="0.35">
      <c r="R31" t="s">
        <v>1</v>
      </c>
      <c r="S31"/>
    </row>
    <row r="32" spans="3:21" x14ac:dyDescent="0.35">
      <c r="R32"/>
      <c r="S32"/>
    </row>
    <row r="33" spans="3:19" x14ac:dyDescent="0.35">
      <c r="R33"/>
      <c r="S33"/>
    </row>
    <row r="43" spans="3:19" x14ac:dyDescent="0.35">
      <c r="C43" s="95" t="s">
        <v>13</v>
      </c>
      <c r="D43" s="95"/>
      <c r="E43" s="95"/>
    </row>
    <row r="44" spans="3:19" x14ac:dyDescent="0.35">
      <c r="C44" s="95" t="s">
        <v>37</v>
      </c>
      <c r="D44" s="95"/>
      <c r="E44" s="95"/>
    </row>
    <row r="46" spans="3:19" x14ac:dyDescent="0.35">
      <c r="C46" s="10" t="s">
        <v>48</v>
      </c>
      <c r="D46" s="10" t="s">
        <v>49</v>
      </c>
    </row>
    <row r="47" spans="3:19" x14ac:dyDescent="0.35">
      <c r="C47" s="10" t="s">
        <v>50</v>
      </c>
      <c r="D47" s="10" t="s">
        <v>51</v>
      </c>
    </row>
  </sheetData>
  <mergeCells count="14">
    <mergeCell ref="C3:N5"/>
    <mergeCell ref="H25:N25"/>
    <mergeCell ref="C25:E25"/>
    <mergeCell ref="G18:L18"/>
    <mergeCell ref="I10:I11"/>
    <mergeCell ref="H10:H11"/>
    <mergeCell ref="E10:E11"/>
    <mergeCell ref="H22:N22"/>
    <mergeCell ref="C43:E43"/>
    <mergeCell ref="C44:E44"/>
    <mergeCell ref="C14:G14"/>
    <mergeCell ref="C10:C11"/>
    <mergeCell ref="D10:D11"/>
    <mergeCell ref="F10:G10"/>
  </mergeCells>
  <pageMargins left="0.7" right="0.7" top="0.75" bottom="0.75" header="0.3" footer="0.3"/>
  <pageSetup paperSize="9" scale="27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R43"/>
  <sheetViews>
    <sheetView topLeftCell="A6" zoomScale="75" zoomScaleNormal="80" workbookViewId="0">
      <selection activeCell="H24" sqref="H24"/>
    </sheetView>
  </sheetViews>
  <sheetFormatPr defaultRowHeight="14.5" x14ac:dyDescent="0.35"/>
  <cols>
    <col min="4" max="4" width="28.1796875" bestFit="1" customWidth="1"/>
    <col min="5" max="5" width="15.81640625" bestFit="1" customWidth="1"/>
    <col min="7" max="7" width="17.1796875" customWidth="1"/>
    <col min="8" max="8" width="25.1796875" bestFit="1" customWidth="1"/>
    <col min="9" max="9" width="9.81640625" bestFit="1" customWidth="1"/>
  </cols>
  <sheetData>
    <row r="1" spans="3:18" ht="15" thickBot="1" x14ac:dyDescent="0.4"/>
    <row r="2" spans="3:18" ht="15" customHeight="1" x14ac:dyDescent="0.35">
      <c r="C2" s="49" t="s">
        <v>38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1"/>
    </row>
    <row r="3" spans="3:18" ht="15" customHeight="1" x14ac:dyDescent="0.35">
      <c r="C3" s="52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</row>
    <row r="4" spans="3:18" ht="15.75" customHeight="1" thickBot="1" x14ac:dyDescent="0.4">
      <c r="C4" s="55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7"/>
    </row>
    <row r="7" spans="3:18" ht="15.5" x14ac:dyDescent="0.35">
      <c r="G7" s="28" t="s">
        <v>5</v>
      </c>
      <c r="H7" s="28" t="s">
        <v>17</v>
      </c>
      <c r="I7" s="28" t="s">
        <v>47</v>
      </c>
    </row>
    <row r="8" spans="3:18" ht="15.5" x14ac:dyDescent="0.35">
      <c r="G8" s="2">
        <v>1</v>
      </c>
      <c r="H8" s="2" t="s">
        <v>27</v>
      </c>
      <c r="I8" s="2">
        <v>100</v>
      </c>
    </row>
    <row r="9" spans="3:18" ht="15.5" x14ac:dyDescent="0.35">
      <c r="G9" s="2">
        <v>2</v>
      </c>
      <c r="H9" s="2" t="s">
        <v>28</v>
      </c>
      <c r="I9" s="2">
        <v>0.1</v>
      </c>
    </row>
    <row r="10" spans="3:18" ht="15.5" x14ac:dyDescent="0.35">
      <c r="G10" s="2">
        <v>3</v>
      </c>
      <c r="H10" s="2" t="s">
        <v>215</v>
      </c>
      <c r="I10" s="42">
        <v>1.8199999999999999E-5</v>
      </c>
      <c r="J10" t="s">
        <v>1</v>
      </c>
      <c r="M10" t="s">
        <v>1</v>
      </c>
      <c r="N10" t="s">
        <v>1</v>
      </c>
    </row>
    <row r="11" spans="3:18" ht="15.5" x14ac:dyDescent="0.35">
      <c r="G11" s="2">
        <v>4</v>
      </c>
      <c r="H11" s="2" t="s">
        <v>222</v>
      </c>
      <c r="I11" s="42">
        <f>(10^-14/I10)</f>
        <v>5.4945054945054949E-10</v>
      </c>
    </row>
    <row r="12" spans="3:18" ht="31" x14ac:dyDescent="0.35">
      <c r="G12" s="2">
        <v>5</v>
      </c>
      <c r="H12" s="44" t="s">
        <v>216</v>
      </c>
      <c r="I12" s="5">
        <v>10</v>
      </c>
    </row>
    <row r="13" spans="3:18" ht="31" x14ac:dyDescent="0.35">
      <c r="G13" s="2">
        <v>6</v>
      </c>
      <c r="H13" s="44" t="s">
        <v>217</v>
      </c>
      <c r="I13" s="5">
        <f>I8</f>
        <v>100</v>
      </c>
    </row>
    <row r="14" spans="3:18" ht="15.5" x14ac:dyDescent="0.35">
      <c r="G14" s="2">
        <v>7</v>
      </c>
      <c r="H14" s="44" t="s">
        <v>218</v>
      </c>
      <c r="I14" s="5">
        <v>0</v>
      </c>
    </row>
    <row r="15" spans="3:18" ht="15.5" x14ac:dyDescent="0.35">
      <c r="G15" s="2">
        <v>8</v>
      </c>
      <c r="H15" s="44" t="s">
        <v>219</v>
      </c>
      <c r="I15" s="5">
        <f>I8*2</f>
        <v>200</v>
      </c>
    </row>
    <row r="16" spans="3:18" ht="15.5" x14ac:dyDescent="0.35">
      <c r="G16" s="100" t="s">
        <v>46</v>
      </c>
      <c r="H16" s="101"/>
      <c r="I16" s="7" t="s">
        <v>213</v>
      </c>
    </row>
    <row r="17" spans="4:9" ht="15.5" x14ac:dyDescent="0.35">
      <c r="G17" s="2">
        <v>1</v>
      </c>
      <c r="H17" s="14" t="s">
        <v>29</v>
      </c>
      <c r="I17" s="15">
        <f>L23</f>
        <v>0</v>
      </c>
    </row>
    <row r="20" spans="4:9" x14ac:dyDescent="0.35">
      <c r="D20" s="102" t="s">
        <v>220</v>
      </c>
      <c r="E20" s="102"/>
      <c r="G20" s="102" t="s">
        <v>221</v>
      </c>
      <c r="H20" s="102"/>
    </row>
    <row r="21" spans="4:9" ht="29" x14ac:dyDescent="0.35">
      <c r="D21" s="41" t="s">
        <v>214</v>
      </c>
      <c r="E21" s="33" t="s">
        <v>212</v>
      </c>
      <c r="G21" s="46" t="s">
        <v>214</v>
      </c>
      <c r="H21" s="40" t="s">
        <v>212</v>
      </c>
    </row>
    <row r="22" spans="4:9" x14ac:dyDescent="0.35">
      <c r="D22" s="43">
        <v>0</v>
      </c>
      <c r="E22" s="43">
        <f>IFERROR(-LOG(SQRT($I$9*$I$10)),"")</f>
        <v>2.8699643060074624</v>
      </c>
      <c r="G22" s="43">
        <f>I13</f>
        <v>100</v>
      </c>
      <c r="H22" s="43">
        <f>14-(-LOG(SQRT($I$11*((G22/1000*$I$9)/((G22+$I$8)/1000)))))</f>
        <v>8.7194493081754718</v>
      </c>
    </row>
    <row r="23" spans="4:9" x14ac:dyDescent="0.35">
      <c r="D23" s="43">
        <f>D22+$I$12</f>
        <v>10</v>
      </c>
      <c r="E23" s="45">
        <f>((-LOG($I$10)+LOG((D23/1000*$I$9)/(($I$8/1000*$I$9)-(D23/1000*$I$9)))))</f>
        <v>3.7856861025756001</v>
      </c>
      <c r="G23" s="99" t="s">
        <v>223</v>
      </c>
      <c r="H23" s="99"/>
    </row>
    <row r="24" spans="4:9" x14ac:dyDescent="0.35">
      <c r="D24" s="43">
        <f t="shared" ref="D24:D35" si="0">D23+$I$12</f>
        <v>20</v>
      </c>
      <c r="E24" s="45">
        <f t="shared" ref="E24:E42" si="1">((-LOG($I$10)+LOG((D24/1000*$I$9)/(($I$8/1000*$I$9)-(D24/1000*$I$9)))))</f>
        <v>4.1378686206869624</v>
      </c>
      <c r="G24" s="43">
        <f>$G$22+$I$12</f>
        <v>110</v>
      </c>
      <c r="H24" s="43">
        <f>14-(-LOG(((((G24/1000*$I$9)-($G$22/1000*$I$9))/((G24+$G$22)/1000)))))</f>
        <v>11.67778070526608</v>
      </c>
    </row>
    <row r="25" spans="4:9" x14ac:dyDescent="0.35">
      <c r="D25" s="43">
        <f t="shared" si="0"/>
        <v>30</v>
      </c>
      <c r="E25" s="45">
        <f t="shared" si="1"/>
        <v>4.3719518267203306</v>
      </c>
      <c r="G25" s="43">
        <f>G24+$I$12</f>
        <v>120</v>
      </c>
      <c r="H25" s="43">
        <f>14-(-LOG(((((G25/1000*$I$9)-($G$22/1000*$I$9))/((G25+$G$22)/1000)))))</f>
        <v>11.958607314841775</v>
      </c>
    </row>
    <row r="26" spans="4:9" x14ac:dyDescent="0.35">
      <c r="D26" s="43">
        <f t="shared" si="0"/>
        <v>40</v>
      </c>
      <c r="E26" s="45">
        <f t="shared" si="1"/>
        <v>4.5638373529592435</v>
      </c>
      <c r="G26" s="43">
        <f t="shared" ref="G26:G33" si="2">G25+$I$12</f>
        <v>130</v>
      </c>
      <c r="H26" s="43">
        <f>14-(-LOG(((((G26/1000*$I$9)-($G$22/1000*$I$9))/((G26+$G$22)/1000)))))</f>
        <v>12.11539341870207</v>
      </c>
    </row>
    <row r="27" spans="4:9" x14ac:dyDescent="0.35">
      <c r="D27" s="43">
        <f t="shared" si="0"/>
        <v>50</v>
      </c>
      <c r="E27" s="45">
        <f t="shared" si="1"/>
        <v>4.7399286120149249</v>
      </c>
      <c r="G27" s="43">
        <f t="shared" si="2"/>
        <v>140</v>
      </c>
      <c r="H27" s="43">
        <f t="shared" ref="H27:H33" si="3">14-(-LOG(((((G27/1000*$I$9)-($G$22/1000*$I$9))/((G27+$G$22)/1000)))))</f>
        <v>12.221848749616356</v>
      </c>
    </row>
    <row r="28" spans="4:9" x14ac:dyDescent="0.35">
      <c r="D28" s="43">
        <f t="shared" si="0"/>
        <v>60</v>
      </c>
      <c r="E28" s="45">
        <f t="shared" si="1"/>
        <v>4.9160198710706062</v>
      </c>
      <c r="G28" s="43">
        <f t="shared" si="2"/>
        <v>150</v>
      </c>
      <c r="H28" s="43">
        <f t="shared" si="3"/>
        <v>12.301029995663981</v>
      </c>
    </row>
    <row r="29" spans="4:9" x14ac:dyDescent="0.35">
      <c r="D29" s="43">
        <f t="shared" si="0"/>
        <v>70</v>
      </c>
      <c r="E29" s="45">
        <f t="shared" si="1"/>
        <v>5.1079053973095192</v>
      </c>
      <c r="G29" s="43">
        <f t="shared" si="2"/>
        <v>160</v>
      </c>
      <c r="H29" s="43">
        <f t="shared" si="3"/>
        <v>12.363177902412826</v>
      </c>
    </row>
    <row r="30" spans="4:9" x14ac:dyDescent="0.35">
      <c r="D30" s="43">
        <f t="shared" si="0"/>
        <v>80</v>
      </c>
      <c r="E30" s="45">
        <f t="shared" si="1"/>
        <v>5.3419886033428865</v>
      </c>
      <c r="G30" s="43">
        <f t="shared" si="2"/>
        <v>170</v>
      </c>
      <c r="H30" s="43">
        <f t="shared" si="3"/>
        <v>12.413734275855269</v>
      </c>
    </row>
    <row r="31" spans="4:9" x14ac:dyDescent="0.35">
      <c r="D31" s="43">
        <f t="shared" si="0"/>
        <v>90</v>
      </c>
      <c r="E31" s="45">
        <f>((-LOG($I$10)+LOG((D31/1000*$I$9)/(($I$8/1000*$I$9)-(D31/1000*$I$9)))))</f>
        <v>5.6941711214542483</v>
      </c>
      <c r="G31" s="43">
        <f t="shared" si="2"/>
        <v>180</v>
      </c>
      <c r="H31" s="43">
        <f t="shared" si="3"/>
        <v>12.455931955649724</v>
      </c>
    </row>
    <row r="32" spans="4:9" x14ac:dyDescent="0.35">
      <c r="D32" s="43">
        <f t="shared" si="0"/>
        <v>100</v>
      </c>
      <c r="E32" s="45" t="e">
        <f t="shared" si="1"/>
        <v>#DIV/0!</v>
      </c>
      <c r="G32" s="43">
        <f t="shared" si="2"/>
        <v>190</v>
      </c>
      <c r="H32" s="43">
        <f t="shared" si="3"/>
        <v>12.49184451154037</v>
      </c>
    </row>
    <row r="33" spans="4:8" x14ac:dyDescent="0.35">
      <c r="D33" s="43">
        <f t="shared" si="0"/>
        <v>110</v>
      </c>
      <c r="E33" s="45" t="e">
        <f t="shared" si="1"/>
        <v>#NUM!</v>
      </c>
      <c r="G33" s="43">
        <f t="shared" si="2"/>
        <v>200</v>
      </c>
      <c r="H33" s="43">
        <f t="shared" si="3"/>
        <v>12.522878745280337</v>
      </c>
    </row>
    <row r="34" spans="4:8" x14ac:dyDescent="0.35">
      <c r="D34" s="43">
        <f t="shared" si="0"/>
        <v>120</v>
      </c>
      <c r="E34" s="45" t="e">
        <f t="shared" si="1"/>
        <v>#NUM!</v>
      </c>
      <c r="G34" s="47"/>
      <c r="H34" s="48"/>
    </row>
    <row r="35" spans="4:8" x14ac:dyDescent="0.35">
      <c r="D35" s="43">
        <f t="shared" si="0"/>
        <v>130</v>
      </c>
      <c r="E35" s="45" t="e">
        <f t="shared" si="1"/>
        <v>#NUM!</v>
      </c>
      <c r="G35" s="47"/>
      <c r="H35" s="48"/>
    </row>
    <row r="36" spans="4:8" x14ac:dyDescent="0.35">
      <c r="D36" s="43">
        <f t="shared" ref="D36:D42" si="4">D35+$I$12</f>
        <v>140</v>
      </c>
      <c r="E36" s="45" t="e">
        <f t="shared" si="1"/>
        <v>#NUM!</v>
      </c>
      <c r="G36" s="47"/>
      <c r="H36" s="48"/>
    </row>
    <row r="37" spans="4:8" x14ac:dyDescent="0.35">
      <c r="D37" s="43">
        <f t="shared" si="4"/>
        <v>150</v>
      </c>
      <c r="E37" s="45" t="e">
        <f t="shared" si="1"/>
        <v>#NUM!</v>
      </c>
      <c r="G37" s="47"/>
      <c r="H37" s="48"/>
    </row>
    <row r="38" spans="4:8" x14ac:dyDescent="0.35">
      <c r="D38" s="43">
        <f t="shared" si="4"/>
        <v>160</v>
      </c>
      <c r="E38" s="45" t="e">
        <f t="shared" si="1"/>
        <v>#NUM!</v>
      </c>
      <c r="G38" s="47"/>
      <c r="H38" s="48"/>
    </row>
    <row r="39" spans="4:8" x14ac:dyDescent="0.35">
      <c r="D39" s="43">
        <f t="shared" si="4"/>
        <v>170</v>
      </c>
      <c r="E39" s="45" t="e">
        <f t="shared" si="1"/>
        <v>#NUM!</v>
      </c>
      <c r="G39" s="47"/>
      <c r="H39" s="48"/>
    </row>
    <row r="40" spans="4:8" x14ac:dyDescent="0.35">
      <c r="D40" s="43">
        <f t="shared" si="4"/>
        <v>180</v>
      </c>
      <c r="E40" s="45" t="e">
        <f t="shared" si="1"/>
        <v>#NUM!</v>
      </c>
      <c r="G40" s="47"/>
      <c r="H40" s="48"/>
    </row>
    <row r="41" spans="4:8" x14ac:dyDescent="0.35">
      <c r="D41" s="43">
        <f t="shared" si="4"/>
        <v>190</v>
      </c>
      <c r="E41" s="45" t="e">
        <f t="shared" si="1"/>
        <v>#NUM!</v>
      </c>
      <c r="G41" s="47"/>
      <c r="H41" s="48"/>
    </row>
    <row r="42" spans="4:8" x14ac:dyDescent="0.35">
      <c r="D42" s="43">
        <f t="shared" si="4"/>
        <v>200</v>
      </c>
      <c r="E42" s="45" t="e">
        <f t="shared" si="1"/>
        <v>#NUM!</v>
      </c>
      <c r="G42" s="47"/>
      <c r="H42" s="48"/>
    </row>
    <row r="43" spans="4:8" x14ac:dyDescent="0.35">
      <c r="D43" s="30"/>
      <c r="E43" s="30"/>
    </row>
  </sheetData>
  <mergeCells count="5">
    <mergeCell ref="G23:H23"/>
    <mergeCell ref="C2:R4"/>
    <mergeCell ref="G16:H16"/>
    <mergeCell ref="D20:E20"/>
    <mergeCell ref="G20:H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SPU KIMIA</vt:lpstr>
      <vt:lpstr>Massa Molar</vt:lpstr>
      <vt:lpstr>Bobot Ekuivalen</vt:lpstr>
      <vt:lpstr>FORMAT STANDARDISASI</vt:lpstr>
      <vt:lpstr>FORMAT STANDARDISASI&amp;KADAR</vt:lpstr>
      <vt:lpstr>FORMAT PENETAPAN KADAR</vt:lpstr>
      <vt:lpstr>Curve Titration</vt:lpstr>
      <vt:lpstr>'Bobot Ekuivalen'!Print_Area</vt:lpstr>
      <vt:lpstr>'FORMAT STANDARDISASI&amp;KADAR'!Print_Area</vt:lpstr>
      <vt:lpstr>'Massa Molar'!Print_Area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</dc:creator>
  <cp:lastModifiedBy>Dimas Panduresi</cp:lastModifiedBy>
  <dcterms:created xsi:type="dcterms:W3CDTF">2021-10-12T06:52:08Z</dcterms:created>
  <dcterms:modified xsi:type="dcterms:W3CDTF">2026-10-08T10:24:05Z</dcterms:modified>
  <cp:contentStatus/>
</cp:coreProperties>
</file>