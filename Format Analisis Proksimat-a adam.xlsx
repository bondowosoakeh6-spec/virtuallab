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8001_{FF051ED4-227F-43E5-AD9E-A59E435DDAB9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Format Kadar Air" sheetId="1" r:id="rId1"/>
    <sheet name="Format Kadar Abu" sheetId="2" r:id="rId2"/>
    <sheet name="Format Kadar Protein" sheetId="6" r:id="rId3"/>
    <sheet name="Format %Protein_standarless" sheetId="4" r:id="rId4"/>
    <sheet name="karbo" sheetId="5" r:id="rId5"/>
    <sheet name="karbo (2)" sheetId="7" r:id="rId6"/>
    <sheet name="Konversi Tabel Luff Schoorl" sheetId="8" r:id="rId7"/>
    <sheet name="Rekap Kegiatan" sheetId="3" r:id="rId8"/>
  </sheets>
  <definedNames>
    <definedName name="_xlnm.Print_Area" localSheetId="3">'Format %Protein_standarless'!$A$1:$R$104</definedName>
    <definedName name="_xlnm.Print_Area" localSheetId="1">'Format Kadar Abu'!$A$1:$N$45</definedName>
    <definedName name="_xlnm.Print_Area" localSheetId="0">'Format Kadar Air'!$A$1:$P$45</definedName>
    <definedName name="_xlnm.Print_Area" localSheetId="2">'Format Kadar Protein'!$A$1:$T$135</definedName>
    <definedName name="_xlnm.Print_Area" localSheetId="4">karbo!$A$1:$O$229</definedName>
    <definedName name="_xlnm.Print_Area" localSheetId="6">'Konversi Tabel Luff Schoorl'!$A$1:$L$30</definedName>
    <definedName name="_xlnm.Print_Area" localSheetId="7">'Rekap Kegiatan'!$A$1:$M$19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7" l="1"/>
  <c r="D13" i="8"/>
  <c r="D12" i="8"/>
  <c r="D11" i="8"/>
  <c r="E43" i="4" l="1"/>
  <c r="E72" i="4"/>
  <c r="G133" i="5" l="1"/>
  <c r="H133" i="5" s="1"/>
  <c r="G134" i="5"/>
  <c r="G141" i="5" s="1"/>
  <c r="D205" i="7"/>
  <c r="I205" i="7" s="1"/>
  <c r="I203" i="7"/>
  <c r="C203" i="7"/>
  <c r="G203" i="7" s="1"/>
  <c r="G192" i="7"/>
  <c r="G195" i="7" s="1"/>
  <c r="I191" i="7"/>
  <c r="G189" i="7"/>
  <c r="J188" i="7"/>
  <c r="C188" i="7"/>
  <c r="G188" i="7" s="1"/>
  <c r="D138" i="7"/>
  <c r="D188" i="7" s="1"/>
  <c r="G191" i="7" s="1"/>
  <c r="G194" i="7" s="1"/>
  <c r="D136" i="7"/>
  <c r="F135" i="7"/>
  <c r="D112" i="7"/>
  <c r="I112" i="7" s="1"/>
  <c r="I110" i="7"/>
  <c r="C110" i="7"/>
  <c r="G110" i="7" s="1"/>
  <c r="G99" i="7"/>
  <c r="G102" i="7" s="1"/>
  <c r="I98" i="7"/>
  <c r="G96" i="7"/>
  <c r="J95" i="7"/>
  <c r="D95" i="7"/>
  <c r="G98" i="7" s="1"/>
  <c r="G101" i="7" s="1"/>
  <c r="G104" i="7" s="1"/>
  <c r="D99" i="7" s="1"/>
  <c r="D110" i="7" s="1"/>
  <c r="G112" i="7" s="1"/>
  <c r="C95" i="7"/>
  <c r="G95" i="7" s="1"/>
  <c r="H54" i="7"/>
  <c r="H56" i="7" s="1"/>
  <c r="I51" i="7"/>
  <c r="J50" i="7"/>
  <c r="G43" i="7"/>
  <c r="G42" i="7"/>
  <c r="G39" i="7"/>
  <c r="G38" i="7"/>
  <c r="G40" i="7" s="1"/>
  <c r="D50" i="7" s="1"/>
  <c r="I24" i="7"/>
  <c r="G27" i="7" s="1"/>
  <c r="G30" i="7" s="1"/>
  <c r="G24" i="7"/>
  <c r="I20" i="7"/>
  <c r="G20" i="7"/>
  <c r="G13" i="7"/>
  <c r="G12" i="7"/>
  <c r="G14" i="7" s="1"/>
  <c r="D22" i="7" s="1"/>
  <c r="G25" i="7" s="1"/>
  <c r="G28" i="7" s="1"/>
  <c r="G135" i="5" l="1"/>
  <c r="G44" i="7"/>
  <c r="D51" i="7" s="1"/>
  <c r="H53" i="7" s="1"/>
  <c r="H55" i="7" s="1"/>
  <c r="H58" i="7" s="1"/>
  <c r="D56" i="7" s="1"/>
  <c r="D24" i="7"/>
  <c r="D53" i="7"/>
  <c r="J53" i="7" s="1"/>
  <c r="G114" i="7"/>
  <c r="D114" i="7" s="1"/>
  <c r="G197" i="7"/>
  <c r="D192" i="7" s="1"/>
  <c r="D203" i="7" s="1"/>
  <c r="G205" i="7" s="1"/>
  <c r="G207" i="7" s="1"/>
  <c r="D207" i="7" s="1"/>
  <c r="D205" i="5"/>
  <c r="I205" i="5" s="1"/>
  <c r="I203" i="5"/>
  <c r="C203" i="5"/>
  <c r="G203" i="5" s="1"/>
  <c r="G192" i="5"/>
  <c r="G195" i="5" s="1"/>
  <c r="I191" i="5"/>
  <c r="G189" i="5"/>
  <c r="J188" i="5"/>
  <c r="C188" i="5"/>
  <c r="G188" i="5" s="1"/>
  <c r="D135" i="5"/>
  <c r="D188" i="5" s="1"/>
  <c r="G191" i="5" s="1"/>
  <c r="I51" i="5"/>
  <c r="I110" i="5"/>
  <c r="D112" i="5"/>
  <c r="I112" i="5" s="1"/>
  <c r="C110" i="5"/>
  <c r="G110" i="5" s="1"/>
  <c r="G99" i="5"/>
  <c r="G102" i="5" s="1"/>
  <c r="I98" i="5"/>
  <c r="G96" i="5"/>
  <c r="J95" i="5"/>
  <c r="C95" i="5"/>
  <c r="G95" i="5" s="1"/>
  <c r="D70" i="4"/>
  <c r="D64" i="6"/>
  <c r="G194" i="5" l="1"/>
  <c r="G197" i="5" s="1"/>
  <c r="D192" i="5" s="1"/>
  <c r="D203" i="5" s="1"/>
  <c r="G205" i="5" s="1"/>
  <c r="G207" i="5" s="1"/>
  <c r="D207" i="5" s="1"/>
  <c r="H135" i="5"/>
  <c r="G140" i="5"/>
  <c r="H54" i="5"/>
  <c r="H56" i="5" s="1"/>
  <c r="J50" i="5"/>
  <c r="G43" i="5"/>
  <c r="G42" i="5"/>
  <c r="G39" i="5"/>
  <c r="G38" i="5"/>
  <c r="H141" i="5" l="1"/>
  <c r="H140" i="5"/>
  <c r="G40" i="5"/>
  <c r="D50" i="5" s="1"/>
  <c r="G44" i="5"/>
  <c r="D51" i="5" s="1"/>
  <c r="H53" i="5" s="1"/>
  <c r="I24" i="5" l="1"/>
  <c r="G24" i="5"/>
  <c r="I20" i="5"/>
  <c r="G20" i="5"/>
  <c r="G13" i="5"/>
  <c r="G12" i="5"/>
  <c r="G14" i="5" l="1"/>
  <c r="D22" i="5" s="1"/>
  <c r="G25" i="5" s="1"/>
  <c r="G28" i="5" s="1"/>
  <c r="G27" i="5"/>
  <c r="M52" i="6"/>
  <c r="H18" i="6"/>
  <c r="J22" i="6"/>
  <c r="H22" i="6"/>
  <c r="H25" i="6" s="1"/>
  <c r="J18" i="6"/>
  <c r="H11" i="6"/>
  <c r="H10" i="6"/>
  <c r="E95" i="6"/>
  <c r="K93" i="6" s="1"/>
  <c r="D93" i="6"/>
  <c r="I92" i="6" s="1"/>
  <c r="K92" i="6"/>
  <c r="I81" i="6"/>
  <c r="I85" i="6" s="1"/>
  <c r="O80" i="6"/>
  <c r="M80" i="6"/>
  <c r="K80" i="6"/>
  <c r="I78" i="6"/>
  <c r="O77" i="6"/>
  <c r="M77" i="6"/>
  <c r="K77" i="6"/>
  <c r="E66" i="6"/>
  <c r="K64" i="6" s="1"/>
  <c r="I63" i="6"/>
  <c r="K63" i="6"/>
  <c r="I53" i="6"/>
  <c r="I56" i="6" s="1"/>
  <c r="O52" i="6"/>
  <c r="K52" i="6"/>
  <c r="I50" i="6"/>
  <c r="O49" i="6"/>
  <c r="M49" i="6"/>
  <c r="K49" i="6"/>
  <c r="H40" i="6"/>
  <c r="H39" i="6"/>
  <c r="H36" i="6"/>
  <c r="H35" i="6"/>
  <c r="H16" i="4"/>
  <c r="H17" i="4"/>
  <c r="H12" i="4"/>
  <c r="H13" i="4"/>
  <c r="G30" i="5" l="1"/>
  <c r="D24" i="5" s="1"/>
  <c r="H41" i="6"/>
  <c r="E77" i="6" s="1"/>
  <c r="H12" i="6"/>
  <c r="E20" i="6" s="1"/>
  <c r="H23" i="6" s="1"/>
  <c r="H26" i="6" s="1"/>
  <c r="H28" i="6" s="1"/>
  <c r="E22" i="6" s="1"/>
  <c r="H37" i="6"/>
  <c r="E76" i="6" s="1"/>
  <c r="I80" i="6" s="1"/>
  <c r="E49" i="6"/>
  <c r="H18" i="4"/>
  <c r="H14" i="4"/>
  <c r="D53" i="5" l="1"/>
  <c r="J53" i="5" s="1"/>
  <c r="H55" i="5" s="1"/>
  <c r="H58" i="5" s="1"/>
  <c r="E48" i="6"/>
  <c r="I52" i="6" s="1"/>
  <c r="I55" i="6" s="1"/>
  <c r="I84" i="6"/>
  <c r="D56" i="5" l="1"/>
  <c r="D70" i="5" s="1"/>
  <c r="D72" i="5" s="1"/>
  <c r="D95" i="5" s="1"/>
  <c r="G98" i="5" s="1"/>
  <c r="G101" i="5" s="1"/>
  <c r="G104" i="5" s="1"/>
  <c r="D99" i="5" s="1"/>
  <c r="D110" i="5" s="1"/>
  <c r="G112" i="5" s="1"/>
  <c r="G114" i="5" s="1"/>
  <c r="D114" i="5" s="1"/>
  <c r="I87" i="6"/>
  <c r="E84" i="6" s="1"/>
  <c r="E93" i="6" s="1"/>
  <c r="I93" i="6" s="1"/>
  <c r="I94" i="6" s="1"/>
  <c r="E97" i="6" s="1"/>
  <c r="I59" i="6"/>
  <c r="E56" i="6" s="1"/>
  <c r="E64" i="6" s="1"/>
  <c r="I64" i="6" s="1"/>
  <c r="I66" i="6" s="1"/>
  <c r="E68" i="6" s="1"/>
  <c r="K41" i="4" l="1"/>
  <c r="K70" i="4"/>
  <c r="I69" i="4"/>
  <c r="K69" i="4"/>
  <c r="I58" i="4"/>
  <c r="I62" i="4" s="1"/>
  <c r="O57" i="4"/>
  <c r="M57" i="4"/>
  <c r="K57" i="4"/>
  <c r="I55" i="4"/>
  <c r="O54" i="4"/>
  <c r="M54" i="4"/>
  <c r="K54" i="4"/>
  <c r="K40" i="4"/>
  <c r="D41" i="4"/>
  <c r="I40" i="4" s="1"/>
  <c r="O29" i="4"/>
  <c r="M29" i="4"/>
  <c r="I33" i="4"/>
  <c r="I27" i="4"/>
  <c r="O26" i="4"/>
  <c r="M26" i="4"/>
  <c r="K26" i="4"/>
  <c r="E54" i="4" l="1"/>
  <c r="E53" i="4"/>
  <c r="I57" i="4" s="1"/>
  <c r="I61" i="4" l="1"/>
  <c r="I64" i="4" s="1"/>
  <c r="I32" i="4"/>
  <c r="I36" i="4" l="1"/>
  <c r="E61" i="4"/>
  <c r="E70" i="4" s="1"/>
  <c r="I70" i="4" s="1"/>
  <c r="E33" i="4" l="1"/>
  <c r="E41" i="4"/>
  <c r="I71" i="4"/>
  <c r="E74" i="4" s="1"/>
  <c r="E15" i="2"/>
  <c r="H34" i="2"/>
  <c r="H33" i="2"/>
  <c r="H36" i="2" s="1"/>
  <c r="H13" i="2"/>
  <c r="H11" i="2"/>
  <c r="H10" i="2"/>
  <c r="J14" i="2"/>
  <c r="H14" i="2"/>
  <c r="J13" i="2"/>
  <c r="I41" i="4" l="1"/>
  <c r="I43" i="4" s="1"/>
  <c r="E45" i="4" s="1"/>
  <c r="H16" i="2"/>
  <c r="H17" i="2"/>
  <c r="H38" i="2"/>
  <c r="L13" i="1"/>
  <c r="J16" i="1" s="1"/>
  <c r="H13" i="1"/>
  <c r="H19" i="2" l="1"/>
  <c r="H21" i="2" s="1"/>
  <c r="E17" i="2" s="1"/>
  <c r="J13" i="1"/>
  <c r="H16" i="1" s="1"/>
  <c r="H17" i="1"/>
  <c r="H20" i="1" s="1"/>
  <c r="H14" i="1"/>
  <c r="H34" i="1"/>
  <c r="E12" i="1" l="1"/>
  <c r="H33" i="1" s="1"/>
  <c r="H36" i="1" s="1"/>
  <c r="H38" i="1" s="1"/>
  <c r="H19" i="1"/>
  <c r="H22" i="1" s="1"/>
  <c r="H24" i="1" s="1"/>
  <c r="E16" i="1" s="1"/>
</calcChain>
</file>

<file path=xl/sharedStrings.xml><?xml version="1.0" encoding="utf-8"?>
<sst xmlns="http://schemas.openxmlformats.org/spreadsheetml/2006/main" count="808" uniqueCount="165">
  <si>
    <t>FORMAT ANALISIS KADAR AIR</t>
  </si>
  <si>
    <t>Diketahui</t>
  </si>
  <si>
    <t>Keterangan</t>
  </si>
  <si>
    <t>Bobot sampel sebelum dikeringkan</t>
  </si>
  <si>
    <t xml:space="preserve"> </t>
  </si>
  <si>
    <t>No.</t>
  </si>
  <si>
    <t>Formula Perhitungan</t>
  </si>
  <si>
    <t xml:space="preserve"> Bobot wadah kosong dan sampel setelah dikeringkan</t>
  </si>
  <si>
    <t>-</t>
  </si>
  <si>
    <t xml:space="preserve">(Bobot wadah kosong  </t>
  </si>
  <si>
    <t>+</t>
  </si>
  <si>
    <t>Bobot sampel sebelum dikeringkan)</t>
  </si>
  <si>
    <t>X</t>
  </si>
  <si>
    <t>%</t>
  </si>
  <si>
    <t>ATAU</t>
  </si>
  <si>
    <t>Bobot wadah kosong -misal C (g/mg)</t>
  </si>
  <si>
    <t>Kadar Air (%) =</t>
  </si>
  <si>
    <t>=</t>
  </si>
  <si>
    <t>Berat air</t>
  </si>
  <si>
    <t>Berat sampel</t>
  </si>
  <si>
    <t>Bobot cawan kosong + sampel sebelum dikeringkan</t>
  </si>
  <si>
    <t>Analis: Dimas Panduresi</t>
  </si>
  <si>
    <t>FORMAT ANALISIS KADAR ABU</t>
  </si>
  <si>
    <t>Bobot sampel sesudah pemanasan/dikeringkan</t>
  </si>
  <si>
    <t xml:space="preserve">Bobot wadah kosong dan sampel setelah dikeringkan </t>
  </si>
  <si>
    <t>Bobot sampel sebelum dikeringkan (g/mg)</t>
  </si>
  <si>
    <t>Bobot wadah kosong (g/mg)</t>
  </si>
  <si>
    <t>FORMAT ANALISIS KADAR PROTEIN (TAHAP TITRASI)</t>
  </si>
  <si>
    <t>Data titrasi</t>
  </si>
  <si>
    <t>Volume penitar (ml)</t>
  </si>
  <si>
    <t>Volume penitar yang digunakan (ml)</t>
  </si>
  <si>
    <t>TAT</t>
  </si>
  <si>
    <t xml:space="preserve"> Diketahui</t>
  </si>
  <si>
    <t>Awal</t>
  </si>
  <si>
    <t>Akhir</t>
  </si>
  <si>
    <t>Konsentrasi Penitar (N, M)</t>
  </si>
  <si>
    <t>Faktor Pengenceran</t>
  </si>
  <si>
    <t>Sampel</t>
  </si>
  <si>
    <t>Blanko</t>
  </si>
  <si>
    <t>Volume rata-rata sampel (ml):</t>
  </si>
  <si>
    <r>
      <t xml:space="preserve">Apabila penampung destilat yang digunakan </t>
    </r>
    <r>
      <rPr>
        <b/>
        <sz val="12"/>
        <color theme="1"/>
        <rFont val="Times New Roman"/>
        <family val="1"/>
      </rPr>
      <t>Asam Klorida (HCl)</t>
    </r>
    <r>
      <rPr>
        <sz val="12"/>
        <color theme="1"/>
        <rFont val="Times New Roman"/>
        <family val="1"/>
      </rPr>
      <t xml:space="preserve"> maka sisa Asam Klorida yang tidak bereaksi dengan Amonia dititrasi dengan </t>
    </r>
    <r>
      <rPr>
        <b/>
        <sz val="12"/>
        <color theme="1"/>
        <rFont val="Times New Roman"/>
        <family val="1"/>
      </rPr>
      <t>NaOH Standar (0.1 N)</t>
    </r>
  </si>
  <si>
    <t>Titran yang Dipakai</t>
  </si>
  <si>
    <t>NaOH</t>
  </si>
  <si>
    <t>Massa Sampel (mg)</t>
  </si>
  <si>
    <t>Volume rata-rata blanko (ml):</t>
  </si>
  <si>
    <t>Volume (ml)</t>
  </si>
  <si>
    <t>Volume NaOH (blanko-sampel)</t>
  </si>
  <si>
    <t>Ketetapan Protein</t>
  </si>
  <si>
    <t>Kadar Nitrogen (g/L) =</t>
  </si>
  <si>
    <t>% Nitrogen =</t>
  </si>
  <si>
    <t xml:space="preserve">% Nitrogen </t>
  </si>
  <si>
    <r>
      <t xml:space="preserve">Apabila penampung destilat yang digunakan </t>
    </r>
    <r>
      <rPr>
        <b/>
        <sz val="12"/>
        <color theme="1"/>
        <rFont val="Times New Roman"/>
        <family val="1"/>
      </rPr>
      <t>Asam Borat</t>
    </r>
    <r>
      <rPr>
        <sz val="12"/>
        <color theme="1"/>
        <rFont val="Times New Roman"/>
        <family val="1"/>
      </rPr>
      <t xml:space="preserve"> maka sisa Asam Klorida yang tidak bereaksi dengan Amonia dititrasi dengan </t>
    </r>
    <r>
      <rPr>
        <b/>
        <sz val="12"/>
        <color theme="1"/>
        <rFont val="Times New Roman"/>
        <family val="1"/>
      </rPr>
      <t>Asam Klorida (HCl)</t>
    </r>
  </si>
  <si>
    <t>Asam Borat</t>
  </si>
  <si>
    <t>Faktor Konversi</t>
  </si>
  <si>
    <t>% Protein</t>
  </si>
  <si>
    <t>Formula Perhitungan Kadar Protein</t>
  </si>
  <si>
    <t>% Protein =</t>
  </si>
  <si>
    <t>Formula Perhitungan % Nitrogen</t>
  </si>
  <si>
    <t>Tabel Faktor Konversi Protein dalam Suatu Bahan</t>
  </si>
  <si>
    <t>Bahan</t>
  </si>
  <si>
    <t>Bir</t>
  </si>
  <si>
    <t>Sirup</t>
  </si>
  <si>
    <t>Biji-bijian</t>
  </si>
  <si>
    <t>Ragi</t>
  </si>
  <si>
    <t>Buah-buahan</t>
  </si>
  <si>
    <t>Teh</t>
  </si>
  <si>
    <t>Anggur</t>
  </si>
  <si>
    <t>Malt</t>
  </si>
  <si>
    <t>Makanan Ternak</t>
  </si>
  <si>
    <t>Beras</t>
  </si>
  <si>
    <t>Roti Gandum</t>
  </si>
  <si>
    <t>Makaroni</t>
  </si>
  <si>
    <t>Mie</t>
  </si>
  <si>
    <t>Kacang Tanah</t>
  </si>
  <si>
    <t>Kedelai</t>
  </si>
  <si>
    <t>Kenari</t>
  </si>
  <si>
    <t>Susu</t>
  </si>
  <si>
    <t>Gelatin</t>
  </si>
  <si>
    <t>Analis</t>
  </si>
  <si>
    <t>REKAPITULASI KEGIATAN</t>
  </si>
  <si>
    <t>Kegiatan</t>
  </si>
  <si>
    <t>Hasil Kegiatan (Kadar,dll)</t>
  </si>
  <si>
    <t>Evaluasi</t>
  </si>
  <si>
    <t>Tempat Kegiatan</t>
  </si>
  <si>
    <t>Analis: Dimas P</t>
  </si>
  <si>
    <t>Kadar Abu (%) =</t>
  </si>
  <si>
    <t>Nilai</t>
  </si>
  <si>
    <t>Hasil</t>
  </si>
  <si>
    <t xml:space="preserve">Kadar Abu (%) </t>
  </si>
  <si>
    <t xml:space="preserve">Kadar Air (%) </t>
  </si>
  <si>
    <t>Bobot Abu</t>
  </si>
  <si>
    <t>Bobot Sampel</t>
  </si>
  <si>
    <t>Data standarisasi</t>
  </si>
  <si>
    <t>Volume Y (ml)</t>
  </si>
  <si>
    <t>Volume X (ml)</t>
  </si>
  <si>
    <t>Volume X yang digunakan (ml)</t>
  </si>
  <si>
    <t xml:space="preserve">  </t>
  </si>
  <si>
    <t>Volume rata-rata penitar (ml):</t>
  </si>
  <si>
    <t>Formula Perhitungan Standarisasi Baku Sekunder</t>
  </si>
  <si>
    <t>Konsentrasi X =</t>
  </si>
  <si>
    <t>Konsentrasi Y (N, M)</t>
  </si>
  <si>
    <t>Volume rata-rata X</t>
  </si>
  <si>
    <t>Konsentrasi X (N, M)</t>
  </si>
  <si>
    <t>Simplo</t>
  </si>
  <si>
    <t>Duplo</t>
  </si>
  <si>
    <t>penstandarisasi</t>
  </si>
  <si>
    <t xml:space="preserve">x </t>
  </si>
  <si>
    <t>x</t>
  </si>
  <si>
    <t>Y:</t>
  </si>
  <si>
    <t>X:</t>
  </si>
  <si>
    <t>FORMAT ANALISIS KADAR KARBOHIDRAT METODE LUFF SCHOORL</t>
  </si>
  <si>
    <t>yang ingin distandarisasi</t>
  </si>
  <si>
    <t>2. Penentuan Kadar Karbohidrat</t>
  </si>
  <si>
    <r>
      <t>Formula Perhitungan Volume (mL) Na</t>
    </r>
    <r>
      <rPr>
        <b/>
        <i/>
        <vertAlign val="subscript"/>
        <sz val="14"/>
        <color theme="1"/>
        <rFont val="Times New Roman"/>
        <family val="1"/>
      </rPr>
      <t>2</t>
    </r>
    <r>
      <rPr>
        <b/>
        <i/>
        <sz val="14"/>
        <color theme="1"/>
        <rFont val="Times New Roman"/>
        <family val="1"/>
      </rPr>
      <t>S</t>
    </r>
    <r>
      <rPr>
        <b/>
        <i/>
        <vertAlign val="subscript"/>
        <sz val="14"/>
        <color theme="1"/>
        <rFont val="Times New Roman"/>
        <family val="1"/>
      </rPr>
      <t>2</t>
    </r>
    <r>
      <rPr>
        <b/>
        <i/>
        <sz val="14"/>
        <color theme="1"/>
        <rFont val="Times New Roman"/>
        <family val="1"/>
      </rPr>
      <t>O</t>
    </r>
    <r>
      <rPr>
        <b/>
        <i/>
        <vertAlign val="subscript"/>
        <sz val="14"/>
        <color theme="1"/>
        <rFont val="Times New Roman"/>
        <family val="1"/>
      </rPr>
      <t xml:space="preserve">3 </t>
    </r>
    <r>
      <rPr>
        <b/>
        <i/>
        <sz val="14"/>
        <color theme="1"/>
        <rFont val="Times New Roman"/>
        <family val="1"/>
      </rPr>
      <t>0,1 N</t>
    </r>
  </si>
  <si>
    <t>1. Standarisasi larutan Natrium Tiosulfat 0,1 N</t>
  </si>
  <si>
    <t xml:space="preserve">Kalium Iodat 0,1 N </t>
  </si>
  <si>
    <t>Konsentrasi Y</t>
  </si>
  <si>
    <t>Natrium Tiosulfat 0,1 N</t>
  </si>
  <si>
    <t xml:space="preserve">Natrium Tiosulfat </t>
  </si>
  <si>
    <t>Volume (mL) Natrium Tiosulfat 0,1 N</t>
  </si>
  <si>
    <t>Volume (mL) Natrium Tiosulfat 0,1 N =</t>
  </si>
  <si>
    <t>Volume Natrium Tiosulfat ( Blanko-Sampel)</t>
  </si>
  <si>
    <t>penitar:</t>
  </si>
  <si>
    <t>Konsentrasi Penitar yang terstandarisasi(N, M)</t>
  </si>
  <si>
    <t>Konsentrasi Penitar yang dibuat (N)</t>
  </si>
  <si>
    <t>Tabel Luff Schoorl</t>
  </si>
  <si>
    <t>Glukosa, Fruktosa Gula Inverse (mg)</t>
  </si>
  <si>
    <t>Laktosa (mg)</t>
  </si>
  <si>
    <t>Maltosa</t>
  </si>
  <si>
    <t>Volume (ml) Natrium Tiosulfat 0,1 N</t>
  </si>
  <si>
    <r>
      <t>Volume Rata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Blanko (ml)</t>
    </r>
  </si>
  <si>
    <t>Volume Rata2 Sampel (ml)</t>
  </si>
  <si>
    <r>
      <t>Volume Rata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Sampel (ml)</t>
    </r>
  </si>
  <si>
    <t>Volume rata-rataX (ml)</t>
  </si>
  <si>
    <t>Volume (mL) Natrium Tiosulfat 0,1 N yang didapat</t>
  </si>
  <si>
    <r>
      <t xml:space="preserve">Apabila hasil perhitungan volume Natrium Tiosulfat 0,1 N adalah </t>
    </r>
    <r>
      <rPr>
        <b/>
        <sz val="14"/>
        <color theme="1"/>
        <rFont val="Times New Roman"/>
        <family val="1"/>
      </rPr>
      <t>bilangan bulat</t>
    </r>
    <r>
      <rPr>
        <sz val="14"/>
        <color theme="1"/>
        <rFont val="Times New Roman"/>
        <family val="1"/>
      </rPr>
      <t xml:space="preserve">, mencari mg gulanya adalah dengan </t>
    </r>
    <r>
      <rPr>
        <b/>
        <sz val="14"/>
        <color theme="1"/>
        <rFont val="Times New Roman"/>
        <family val="1"/>
      </rPr>
      <t>konversi langsung</t>
    </r>
    <r>
      <rPr>
        <sz val="14"/>
        <color theme="1"/>
        <rFont val="Times New Roman"/>
        <family val="1"/>
      </rPr>
      <t xml:space="preserve"> membaca nilai yang berada pada tabel Luff Schoorl</t>
    </r>
  </si>
  <si>
    <t>Formula Perhitungan % Glukosa</t>
  </si>
  <si>
    <t>% Glukosa =</t>
  </si>
  <si>
    <t>Formula Konversi Tabel Luff Schoorl</t>
  </si>
  <si>
    <t>Konversi volume (ml) Natrium Tiosulfat 0,1 N yang didapat ke mg Gula</t>
  </si>
  <si>
    <t>x 100%</t>
  </si>
  <si>
    <t>Formula Perhitungan % Karbohidrat</t>
  </si>
  <si>
    <t>% Karbohidrat =</t>
  </si>
  <si>
    <t>% Glukosa</t>
  </si>
  <si>
    <t>Jenis Sampel</t>
  </si>
  <si>
    <t>Pati</t>
  </si>
  <si>
    <t>Sukrosa</t>
  </si>
  <si>
    <t>% Karbohidrat</t>
  </si>
  <si>
    <t>Tabel Faktor Konversi</t>
  </si>
  <si>
    <t>Volume rata-rata X (ml)</t>
  </si>
  <si>
    <r>
      <t>Apabila hasil perhitungan volume Natrium Tiosulfat 0,1 N adalah</t>
    </r>
    <r>
      <rPr>
        <b/>
        <sz val="14"/>
        <color theme="1"/>
        <rFont val="Times New Roman"/>
        <family val="1"/>
      </rPr>
      <t xml:space="preserve"> bilangan desimal</t>
    </r>
    <r>
      <rPr>
        <sz val="14"/>
        <color theme="1"/>
        <rFont val="Times New Roman"/>
        <family val="1"/>
      </rPr>
      <t xml:space="preserve">, mencari mg gulanya adalah dengan </t>
    </r>
    <r>
      <rPr>
        <b/>
        <sz val="14"/>
        <color theme="1"/>
        <rFont val="Times New Roman"/>
        <family val="1"/>
      </rPr>
      <t>konversi langsung</t>
    </r>
    <r>
      <rPr>
        <sz val="14"/>
        <color theme="1"/>
        <rFont val="Times New Roman"/>
        <family val="1"/>
      </rPr>
      <t xml:space="preserve"> membaca nilai yang berada pada tabel Luff Schoorl</t>
    </r>
  </si>
  <si>
    <t xml:space="preserve">Volume (mL) Natrium Tiosulfat 0,1 N </t>
  </si>
  <si>
    <t>mg Glukosa</t>
  </si>
  <si>
    <t>ml tio terbesar-ml tio terkecil            =</t>
  </si>
  <si>
    <t xml:space="preserve">ml tio yang didapat -ml tio terkecil </t>
  </si>
  <si>
    <t>mg gula terbesar-mg gula terkecil</t>
  </si>
  <si>
    <t>X - mg gula terkecil</t>
  </si>
  <si>
    <t>dibuat oleh: Dimas Panduresi</t>
  </si>
  <si>
    <t>Bobot wadah kosong dan sampel setelah dikeringkan (g/mg)</t>
  </si>
  <si>
    <t>tahu</t>
  </si>
  <si>
    <t>Tahu</t>
  </si>
  <si>
    <t>Konversi volume (ml) Natrium Tiosulfat 0,1 N yang didapat ke mg Laktosa</t>
  </si>
  <si>
    <t>Konversi volume (ml) Natrium Tiosulfat 0,1 N yang didapat ke mg Glukosa, Fruktosa, Gula</t>
  </si>
  <si>
    <t>Konversi volume (ml) Natrium Tiosulfat 0,1 N yang didapat ke Maltosa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</si>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</sst>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"/>
    <numFmt numFmtId="165" formatCode="0.0"/>
    <numFmt numFmtId="166" formatCode="0.00000000"/>
    <numFmt numFmtId="167" formatCode="0.0000000000"/>
    <numFmt numFmtId="168" formatCode="0.0000%"/>
  </numFmts>
  <fonts count="12" x14ac:knownFonts="1">
    <font>
      <sz val="11"/>
      <color theme="1"/>
      <name val="Calibri"/>
      <family val="2"/>
      <charset val="1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i/>
      <sz val="14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vertAlign val="subscript"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/>
    <xf numFmtId="164" fontId="2" fillId="0" borderId="10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8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9" fontId="2" fillId="0" borderId="0" xfId="1" applyFont="1"/>
    <xf numFmtId="9" fontId="2" fillId="0" borderId="0" xfId="1" applyFont="1" applyAlignment="1">
      <alignment horizont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vertical="center"/>
    </xf>
    <xf numFmtId="0" fontId="9" fillId="0" borderId="0" xfId="0" applyFont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0" borderId="19" xfId="0" applyFont="1" applyBorder="1"/>
    <xf numFmtId="0" fontId="9" fillId="0" borderId="12" xfId="0" applyFont="1" applyBorder="1"/>
    <xf numFmtId="0" fontId="9" fillId="0" borderId="20" xfId="0" applyFont="1" applyBorder="1"/>
    <xf numFmtId="0" fontId="9" fillId="0" borderId="14" xfId="0" applyFont="1" applyBorder="1"/>
    <xf numFmtId="0" fontId="9" fillId="0" borderId="9" xfId="0" applyFont="1" applyBorder="1"/>
    <xf numFmtId="0" fontId="9" fillId="0" borderId="13" xfId="0" applyFont="1" applyBorder="1"/>
    <xf numFmtId="0" fontId="2" fillId="0" borderId="9" xfId="1" applyNumberFormat="1" applyFont="1" applyFill="1" applyBorder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9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20" fontId="1" fillId="0" borderId="0" xfId="0" applyNumberFormat="1" applyFont="1"/>
    <xf numFmtId="0" fontId="2" fillId="0" borderId="11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/>
    <xf numFmtId="164" fontId="2" fillId="0" borderId="1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164" fontId="9" fillId="0" borderId="0" xfId="0" applyNumberFormat="1" applyFont="1" applyAlignment="1">
      <alignment horizontal="center"/>
    </xf>
    <xf numFmtId="164" fontId="2" fillId="0" borderId="9" xfId="0" applyNumberFormat="1" applyFont="1" applyBorder="1"/>
    <xf numFmtId="168" fontId="2" fillId="0" borderId="0" xfId="1" applyNumberFormat="1" applyFont="1" applyAlignment="1">
      <alignment horizontal="center"/>
    </xf>
    <xf numFmtId="168" fontId="2" fillId="0" borderId="9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2" fillId="0" borderId="9" xfId="1" applyNumberFormat="1" applyFont="1" applyFill="1" applyBorder="1" applyAlignment="1">
      <alignment horizontal="center" vertical="center"/>
    </xf>
    <xf numFmtId="168" fontId="2" fillId="0" borderId="0" xfId="1" applyNumberFormat="1" applyFont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61790</xdr:colOff>
      <xdr:row>21</xdr:row>
      <xdr:rowOff>733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872540" y="46394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61790</xdr:colOff>
      <xdr:row>23</xdr:row>
      <xdr:rowOff>733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748715" y="42679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61790</xdr:colOff>
      <xdr:row>23</xdr:row>
      <xdr:rowOff>733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3758740" y="46870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8:I11" headerRowDxfId="18" dataDxfId="16" totalsRowDxfId="14" headerRowBorderDxfId="17" tableBorderDxfId="15">
  <autoFilter ref="C8:I11" xr:uid="{00000000-0009-0000-0100-000001000000}"/>
  <tableColumns count="7">
    <tableColumn id="1" xr3:uid="{00000000-0010-0000-0000-000001000000}" name="No." totalsRowLabel="Total" dataDxfId="13" totalsRowDxfId="12"/>
    <tableColumn id="2" xr3:uid="{00000000-0010-0000-0000-000002000000}" name="Tanggal" dataDxfId="11" totalsRowDxfId="10"/>
    <tableColumn id="3" xr3:uid="{00000000-0010-0000-0000-000003000000}" name="Tempat Kegiatan" dataDxfId="9" totalsRowDxfId="8"/>
    <tableColumn id="4" xr3:uid="{00000000-0010-0000-0000-000004000000}" name="Analis" dataDxfId="7" totalsRowDxfId="6"/>
    <tableColumn id="5" xr3:uid="{00000000-0010-0000-0000-000005000000}" name="Kegiatan" dataDxfId="5" totalsRowDxfId="4"/>
    <tableColumn id="6" xr3:uid="{00000000-0010-0000-0000-000006000000}" name="Hasil Kegiatan (Kadar,dll)" dataDxfId="3" totalsRowDxfId="2"/>
    <tableColumn id="7" xr3:uid="{00000000-0010-0000-0000-000007000000}" name="Evaluasi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41"/>
  <sheetViews>
    <sheetView topLeftCell="B37" zoomScale="70" zoomScaleNormal="70" zoomScaleSheetLayoutView="62" zoomScalePageLayoutView="35" workbookViewId="0">
      <selection activeCell="E14" sqref="E14"/>
    </sheetView>
  </sheetViews>
  <sheetFormatPr defaultColWidth="9.1796875" defaultRowHeight="20.149999999999999" customHeight="1" x14ac:dyDescent="0.35"/>
  <cols>
    <col min="1" max="2" width="9.1796875" style="5"/>
    <col min="3" max="3" width="4.54296875" style="5" customWidth="1"/>
    <col min="4" max="4" width="67.26953125" style="5" bestFit="1" customWidth="1"/>
    <col min="5" max="5" width="11.54296875" style="5" bestFit="1" customWidth="1"/>
    <col min="6" max="6" width="9.1796875" style="5"/>
    <col min="7" max="7" width="15.26953125" style="5" bestFit="1" customWidth="1"/>
    <col min="8" max="8" width="23.54296875" style="5" customWidth="1"/>
    <col min="9" max="9" width="2.81640625" style="5" customWidth="1"/>
    <col min="10" max="10" width="35.7265625" style="5" customWidth="1"/>
    <col min="11" max="11" width="2.26953125" style="5" customWidth="1"/>
    <col min="12" max="12" width="53.453125" style="5" bestFit="1" customWidth="1"/>
    <col min="13" max="13" width="3" style="5" customWidth="1"/>
    <col min="14" max="14" width="6.81640625" style="5" customWidth="1"/>
    <col min="15" max="16384" width="9.1796875" style="5"/>
  </cols>
  <sheetData>
    <row r="2" spans="3:14" ht="20.149999999999999" customHeight="1" thickBot="1" x14ac:dyDescent="0.4"/>
    <row r="3" spans="3:14" ht="20.149999999999999" customHeight="1" x14ac:dyDescent="0.35">
      <c r="C3" s="104" t="s">
        <v>0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</row>
    <row r="4" spans="3:14" ht="20.149999999999999" customHeight="1" x14ac:dyDescent="0.35"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</row>
    <row r="5" spans="3:14" ht="20.149999999999999" customHeight="1" thickBot="1" x14ac:dyDescent="0.4">
      <c r="C5" s="110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</row>
    <row r="8" spans="3:14" ht="20.149999999999999" customHeight="1" x14ac:dyDescent="0.35">
      <c r="G8" s="116" t="s">
        <v>6</v>
      </c>
      <c r="H8" s="116"/>
      <c r="I8" s="116"/>
      <c r="J8" s="116"/>
      <c r="K8" s="116"/>
      <c r="L8" s="116"/>
    </row>
    <row r="10" spans="3:14" ht="20.149999999999999" customHeight="1" x14ac:dyDescent="0.35">
      <c r="C10" s="51" t="s">
        <v>5</v>
      </c>
      <c r="D10" s="51" t="s">
        <v>1</v>
      </c>
      <c r="E10" s="51" t="s">
        <v>2</v>
      </c>
      <c r="G10" s="6" t="s">
        <v>16</v>
      </c>
      <c r="H10" s="7" t="s">
        <v>9</v>
      </c>
      <c r="I10" s="8" t="s">
        <v>10</v>
      </c>
      <c r="J10" s="8" t="s">
        <v>11</v>
      </c>
      <c r="K10" s="7" t="s">
        <v>8</v>
      </c>
      <c r="L10" s="7" t="s">
        <v>7</v>
      </c>
      <c r="M10" s="5" t="s">
        <v>12</v>
      </c>
      <c r="N10" s="9">
        <v>1</v>
      </c>
    </row>
    <row r="11" spans="3:14" ht="20.149999999999999" customHeight="1" x14ac:dyDescent="0.35">
      <c r="C11" s="1">
        <v>1</v>
      </c>
      <c r="D11" s="2" t="s">
        <v>26</v>
      </c>
      <c r="E11" s="4" t="s">
        <v>4</v>
      </c>
      <c r="G11" s="6"/>
      <c r="H11" s="117" t="s">
        <v>3</v>
      </c>
      <c r="I11" s="117"/>
      <c r="J11" s="117"/>
      <c r="K11" s="117"/>
      <c r="L11" s="117"/>
    </row>
    <row r="12" spans="3:14" ht="20.149999999999999" customHeight="1" x14ac:dyDescent="0.35">
      <c r="C12" s="1">
        <v>2</v>
      </c>
      <c r="D12" s="5" t="s">
        <v>20</v>
      </c>
      <c r="E12" s="4" t="str">
        <f>IFERROR(H16,"0,0000")</f>
        <v>0,0000</v>
      </c>
      <c r="G12" s="6"/>
      <c r="H12" s="8"/>
      <c r="I12" s="8"/>
      <c r="J12" s="8"/>
      <c r="K12" s="8"/>
      <c r="L12" s="8"/>
    </row>
    <row r="13" spans="3:14" ht="20.149999999999999" customHeight="1" x14ac:dyDescent="0.35">
      <c r="C13" s="1">
        <v>3</v>
      </c>
      <c r="D13" s="2" t="s">
        <v>25</v>
      </c>
      <c r="E13" s="4" t="s">
        <v>4</v>
      </c>
      <c r="G13" s="6" t="s">
        <v>17</v>
      </c>
      <c r="H13" s="15" t="str">
        <f>E11</f>
        <v xml:space="preserve"> </v>
      </c>
      <c r="I13" s="16" t="s">
        <v>10</v>
      </c>
      <c r="J13" s="15" t="str">
        <f>E13</f>
        <v xml:space="preserve"> </v>
      </c>
      <c r="K13" s="7" t="s">
        <v>8</v>
      </c>
      <c r="L13" s="10" t="str">
        <f>E14</f>
        <v xml:space="preserve"> </v>
      </c>
      <c r="M13" s="5" t="s">
        <v>12</v>
      </c>
      <c r="N13" s="9">
        <v>1</v>
      </c>
    </row>
    <row r="14" spans="3:14" ht="20.149999999999999" customHeight="1" x14ac:dyDescent="0.35">
      <c r="C14" s="1">
        <v>4</v>
      </c>
      <c r="D14" s="2" t="s">
        <v>158</v>
      </c>
      <c r="E14" s="4" t="s">
        <v>4</v>
      </c>
      <c r="G14" s="6"/>
      <c r="H14" s="114" t="str">
        <f>E13</f>
        <v xml:space="preserve"> </v>
      </c>
      <c r="I14" s="115"/>
      <c r="J14" s="115"/>
      <c r="K14" s="115"/>
      <c r="L14" s="115"/>
    </row>
    <row r="15" spans="3:14" ht="20.149999999999999" customHeight="1" x14ac:dyDescent="0.35">
      <c r="C15" s="118" t="s">
        <v>87</v>
      </c>
      <c r="D15" s="118"/>
      <c r="E15" s="118"/>
      <c r="G15" s="6"/>
      <c r="H15" s="8"/>
      <c r="I15" s="8"/>
      <c r="J15" s="8"/>
      <c r="K15" s="8"/>
      <c r="L15" s="8"/>
    </row>
    <row r="16" spans="3:14" ht="20.149999999999999" customHeight="1" x14ac:dyDescent="0.35">
      <c r="C16" s="1">
        <v>1</v>
      </c>
      <c r="D16" s="2" t="s">
        <v>89</v>
      </c>
      <c r="E16" s="88">
        <f>H24</f>
        <v>0</v>
      </c>
      <c r="G16" s="6" t="s">
        <v>17</v>
      </c>
      <c r="H16" s="10" t="str">
        <f>IFERROR(H13+J13,"0,0000")</f>
        <v>0,0000</v>
      </c>
      <c r="I16" s="7" t="s">
        <v>8</v>
      </c>
      <c r="J16" s="10" t="str">
        <f>L13</f>
        <v xml:space="preserve"> </v>
      </c>
      <c r="K16" s="8" t="s">
        <v>107</v>
      </c>
      <c r="L16" s="11">
        <v>1</v>
      </c>
    </row>
    <row r="17" spans="7:12" ht="20.149999999999999" customHeight="1" x14ac:dyDescent="0.35">
      <c r="G17" s="6"/>
      <c r="H17" s="114" t="str">
        <f>E13</f>
        <v xml:space="preserve"> </v>
      </c>
      <c r="I17" s="115"/>
      <c r="J17" s="115"/>
      <c r="K17" s="8"/>
      <c r="L17" s="8"/>
    </row>
    <row r="18" spans="7:12" ht="20.149999999999999" customHeight="1" x14ac:dyDescent="0.35">
      <c r="G18" s="6"/>
      <c r="H18" s="8"/>
      <c r="I18" s="8"/>
      <c r="J18" s="8"/>
      <c r="K18" s="8"/>
      <c r="L18" s="8"/>
    </row>
    <row r="19" spans="7:12" ht="20.149999999999999" customHeight="1" x14ac:dyDescent="0.35">
      <c r="G19" s="6" t="s">
        <v>17</v>
      </c>
      <c r="H19" s="10" t="str">
        <f>IFERROR(H16-J16,"0,0000")</f>
        <v>0,0000</v>
      </c>
      <c r="I19" s="5" t="s">
        <v>107</v>
      </c>
      <c r="J19" s="11">
        <v>1</v>
      </c>
      <c r="K19" s="13"/>
      <c r="L19" s="13"/>
    </row>
    <row r="20" spans="7:12" ht="20.149999999999999" customHeight="1" x14ac:dyDescent="0.35">
      <c r="G20" s="6"/>
      <c r="H20" s="12" t="str">
        <f>H17</f>
        <v xml:space="preserve"> </v>
      </c>
      <c r="J20" s="8"/>
      <c r="K20" s="13"/>
      <c r="L20" s="13"/>
    </row>
    <row r="21" spans="7:12" ht="20.149999999999999" customHeight="1" x14ac:dyDescent="0.35">
      <c r="G21" s="6"/>
      <c r="H21" s="8"/>
      <c r="I21" s="13"/>
      <c r="J21" s="8"/>
      <c r="K21" s="13"/>
      <c r="L21" s="13"/>
    </row>
    <row r="22" spans="7:12" ht="20.149999999999999" customHeight="1" x14ac:dyDescent="0.35">
      <c r="G22" s="6" t="s">
        <v>17</v>
      </c>
      <c r="H22" s="12" t="str">
        <f>IFERROR(H19/H20,"0")</f>
        <v>0</v>
      </c>
      <c r="I22" s="5" t="s">
        <v>107</v>
      </c>
      <c r="J22" s="11">
        <v>1</v>
      </c>
      <c r="K22" s="13"/>
      <c r="L22" s="13"/>
    </row>
    <row r="23" spans="7:12" ht="20.149999999999999" customHeight="1" x14ac:dyDescent="0.35">
      <c r="G23" s="6"/>
      <c r="K23" s="13"/>
      <c r="L23" s="13"/>
    </row>
    <row r="24" spans="7:12" ht="20.149999999999999" customHeight="1" x14ac:dyDescent="0.35">
      <c r="G24" s="6" t="s">
        <v>16</v>
      </c>
      <c r="H24" s="12">
        <f>H22*100</f>
        <v>0</v>
      </c>
      <c r="I24" s="8" t="s">
        <v>13</v>
      </c>
    </row>
    <row r="26" spans="7:12" ht="20.149999999999999" customHeight="1" x14ac:dyDescent="0.35">
      <c r="G26" s="113" t="s">
        <v>14</v>
      </c>
      <c r="H26" s="113"/>
      <c r="I26" s="113"/>
      <c r="J26" s="113"/>
      <c r="K26" s="113"/>
      <c r="L26" s="113"/>
    </row>
    <row r="27" spans="7:12" ht="20.149999999999999" customHeight="1" x14ac:dyDescent="0.35">
      <c r="G27" s="113" t="s">
        <v>4</v>
      </c>
      <c r="H27" s="113"/>
      <c r="I27" s="113"/>
      <c r="J27" s="113"/>
      <c r="K27" s="113"/>
      <c r="L27" s="113"/>
    </row>
    <row r="28" spans="7:12" ht="20.149999999999999" customHeight="1" x14ac:dyDescent="0.35">
      <c r="G28" s="116" t="s">
        <v>6</v>
      </c>
      <c r="H28" s="116"/>
      <c r="I28" s="116"/>
      <c r="J28" s="116"/>
      <c r="K28" s="116"/>
      <c r="L28" s="116"/>
    </row>
    <row r="30" spans="7:12" ht="20.149999999999999" customHeight="1" x14ac:dyDescent="0.35">
      <c r="G30" s="6" t="s">
        <v>16</v>
      </c>
      <c r="H30" s="7" t="s">
        <v>18</v>
      </c>
      <c r="I30" s="14" t="s">
        <v>107</v>
      </c>
      <c r="J30" s="11">
        <v>1</v>
      </c>
    </row>
    <row r="31" spans="7:12" ht="20.149999999999999" customHeight="1" x14ac:dyDescent="0.35">
      <c r="G31" s="6"/>
      <c r="H31" s="13" t="s">
        <v>19</v>
      </c>
      <c r="I31" s="14"/>
      <c r="J31" s="14"/>
    </row>
    <row r="32" spans="7:12" ht="20.149999999999999" customHeight="1" x14ac:dyDescent="0.35">
      <c r="G32" s="6"/>
      <c r="H32" s="14"/>
      <c r="I32" s="14"/>
      <c r="J32" s="14"/>
    </row>
    <row r="33" spans="4:10" ht="20.149999999999999" customHeight="1" x14ac:dyDescent="0.35">
      <c r="G33" s="6" t="s">
        <v>17</v>
      </c>
      <c r="H33" s="10" t="str">
        <f>IFERROR(E12-E14,"0,0000")</f>
        <v>0,0000</v>
      </c>
      <c r="I33" s="14" t="s">
        <v>107</v>
      </c>
      <c r="J33" s="11">
        <v>1</v>
      </c>
    </row>
    <row r="34" spans="4:10" ht="20.149999999999999" customHeight="1" x14ac:dyDescent="0.35">
      <c r="G34" s="6"/>
      <c r="H34" s="12" t="str">
        <f>E13</f>
        <v xml:space="preserve"> </v>
      </c>
      <c r="I34" s="14"/>
      <c r="J34" s="14"/>
    </row>
    <row r="35" spans="4:10" ht="20.149999999999999" customHeight="1" x14ac:dyDescent="0.35">
      <c r="G35" s="6"/>
      <c r="H35" s="14"/>
      <c r="I35" s="14"/>
      <c r="J35" s="14"/>
    </row>
    <row r="36" spans="4:10" ht="20.149999999999999" customHeight="1" x14ac:dyDescent="0.35">
      <c r="G36" s="6" t="s">
        <v>17</v>
      </c>
      <c r="H36" s="12" t="str">
        <f>IFERROR(H33/H34,"0")</f>
        <v>0</v>
      </c>
      <c r="I36" s="14" t="s">
        <v>107</v>
      </c>
      <c r="J36" s="11">
        <v>1</v>
      </c>
    </row>
    <row r="37" spans="4:10" ht="20.149999999999999" customHeight="1" x14ac:dyDescent="0.35">
      <c r="G37" s="6"/>
      <c r="H37" s="8"/>
      <c r="I37" s="14"/>
      <c r="J37" s="14"/>
    </row>
    <row r="38" spans="4:10" ht="20.149999999999999" customHeight="1" x14ac:dyDescent="0.35">
      <c r="G38" s="6" t="s">
        <v>16</v>
      </c>
      <c r="H38" s="12">
        <f>H36*100</f>
        <v>0</v>
      </c>
      <c r="I38" s="8" t="s">
        <v>13</v>
      </c>
      <c r="J38" s="14"/>
    </row>
    <row r="39" spans="4:10" ht="20.149999999999999" customHeight="1" x14ac:dyDescent="0.35">
      <c r="D39" s="5" t="s">
        <v>21</v>
      </c>
    </row>
    <row r="41" spans="4:10" ht="20.149999999999999" customHeight="1" x14ac:dyDescent="0.35">
      <c r="D41" s="33" t="s">
        <v>157</v>
      </c>
    </row>
  </sheetData>
  <mergeCells count="9">
    <mergeCell ref="C3:N5"/>
    <mergeCell ref="G26:L26"/>
    <mergeCell ref="H17:J17"/>
    <mergeCell ref="G27:L27"/>
    <mergeCell ref="G28:L28"/>
    <mergeCell ref="G8:L8"/>
    <mergeCell ref="H11:L11"/>
    <mergeCell ref="H14:L14"/>
    <mergeCell ref="C15:E15"/>
  </mergeCells>
  <pageMargins left="0.7" right="0.7" top="0.75" bottom="0.75" header="0.3" footer="0.3"/>
  <pageSetup paperSize="9" scale="3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43"/>
  <sheetViews>
    <sheetView view="pageBreakPreview" zoomScale="25" zoomScaleNormal="10" zoomScaleSheetLayoutView="25" workbookViewId="0">
      <selection activeCell="H37" sqref="H37"/>
    </sheetView>
  </sheetViews>
  <sheetFormatPr defaultColWidth="9.1796875" defaultRowHeight="20.149999999999999" customHeight="1" x14ac:dyDescent="0.35"/>
  <cols>
    <col min="1" max="2" width="9.1796875" style="5"/>
    <col min="3" max="3" width="4.54296875" style="5" customWidth="1"/>
    <col min="4" max="4" width="67.26953125" style="5" bestFit="1" customWidth="1"/>
    <col min="5" max="5" width="12.81640625" style="5" bestFit="1" customWidth="1"/>
    <col min="6" max="6" width="9.1796875" style="5"/>
    <col min="7" max="7" width="15.26953125" style="5" bestFit="1" customWidth="1"/>
    <col min="8" max="8" width="72.453125" style="5" customWidth="1"/>
    <col min="9" max="9" width="2.26953125" style="5" customWidth="1"/>
    <col min="10" max="10" width="39.26953125" style="5" customWidth="1"/>
    <col min="11" max="11" width="3.1796875" style="5" customWidth="1"/>
    <col min="12" max="12" width="7.26953125" style="5" customWidth="1"/>
    <col min="13" max="13" width="3" style="5" customWidth="1"/>
    <col min="14" max="14" width="6.81640625" style="5" customWidth="1"/>
    <col min="15" max="16384" width="9.1796875" style="5"/>
  </cols>
  <sheetData>
    <row r="2" spans="3:14" ht="20.149999999999999" customHeight="1" thickBot="1" x14ac:dyDescent="0.4"/>
    <row r="3" spans="3:14" ht="20.149999999999999" customHeight="1" x14ac:dyDescent="0.35">
      <c r="C3" s="104" t="s">
        <v>22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</row>
    <row r="4" spans="3:14" ht="20.149999999999999" customHeight="1" x14ac:dyDescent="0.35"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</row>
    <row r="5" spans="3:14" ht="20.149999999999999" customHeight="1" thickBot="1" x14ac:dyDescent="0.4">
      <c r="C5" s="110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</row>
    <row r="8" spans="3:14" ht="20.149999999999999" customHeight="1" x14ac:dyDescent="0.35">
      <c r="G8" s="116" t="s">
        <v>6</v>
      </c>
      <c r="H8" s="116"/>
      <c r="I8" s="116"/>
      <c r="J8" s="116"/>
      <c r="K8" s="116"/>
      <c r="L8" s="116"/>
    </row>
    <row r="10" spans="3:14" ht="20.149999999999999" customHeight="1" x14ac:dyDescent="0.35">
      <c r="C10" s="51" t="s">
        <v>5</v>
      </c>
      <c r="D10" s="51" t="s">
        <v>1</v>
      </c>
      <c r="E10" s="51" t="s">
        <v>2</v>
      </c>
      <c r="G10" s="6" t="s">
        <v>85</v>
      </c>
      <c r="H10" s="7" t="str">
        <f>D14</f>
        <v xml:space="preserve">Bobot wadah kosong dan sampel setelah dikeringkan </v>
      </c>
      <c r="I10" s="7" t="s">
        <v>8</v>
      </c>
      <c r="J10" s="7" t="s">
        <v>15</v>
      </c>
      <c r="K10" s="8" t="s">
        <v>12</v>
      </c>
      <c r="L10" s="11">
        <v>1</v>
      </c>
      <c r="M10" s="8"/>
      <c r="N10" s="9"/>
    </row>
    <row r="11" spans="3:14" ht="20.149999999999999" customHeight="1" x14ac:dyDescent="0.35">
      <c r="C11" s="2">
        <v>1</v>
      </c>
      <c r="D11" s="2" t="s">
        <v>26</v>
      </c>
      <c r="E11" s="17">
        <v>0</v>
      </c>
      <c r="G11" s="6"/>
      <c r="H11" s="13" t="str">
        <f>D12</f>
        <v>Bobot cawan kosong + sampel sebelum dikeringkan</v>
      </c>
      <c r="I11" s="8" t="s">
        <v>8</v>
      </c>
      <c r="J11" s="13" t="s">
        <v>15</v>
      </c>
      <c r="K11" s="8"/>
      <c r="L11" s="8"/>
      <c r="M11" s="8"/>
    </row>
    <row r="12" spans="3:14" ht="20.149999999999999" customHeight="1" x14ac:dyDescent="0.35">
      <c r="C12" s="2">
        <v>2</v>
      </c>
      <c r="D12" s="18" t="s">
        <v>20</v>
      </c>
      <c r="E12" s="17">
        <v>0</v>
      </c>
      <c r="G12" s="6"/>
      <c r="H12" s="8"/>
      <c r="I12" s="8"/>
      <c r="J12" s="8"/>
      <c r="K12" s="8"/>
      <c r="L12" s="8"/>
      <c r="M12" s="8"/>
    </row>
    <row r="13" spans="3:14" ht="20.149999999999999" customHeight="1" x14ac:dyDescent="0.35">
      <c r="C13" s="2">
        <v>3</v>
      </c>
      <c r="D13" s="2" t="s">
        <v>25</v>
      </c>
      <c r="E13" s="17">
        <v>0</v>
      </c>
      <c r="G13" s="6" t="s">
        <v>17</v>
      </c>
      <c r="H13" s="10">
        <f>E14</f>
        <v>0</v>
      </c>
      <c r="I13" s="10" t="s">
        <v>8</v>
      </c>
      <c r="J13" s="10">
        <f>E11</f>
        <v>0</v>
      </c>
      <c r="K13" s="12"/>
      <c r="L13" s="12"/>
      <c r="M13" s="8"/>
      <c r="N13" s="9"/>
    </row>
    <row r="14" spans="3:14" ht="20.149999999999999" customHeight="1" x14ac:dyDescent="0.35">
      <c r="C14" s="2">
        <v>4</v>
      </c>
      <c r="D14" s="2" t="s">
        <v>24</v>
      </c>
      <c r="E14" s="17">
        <v>0</v>
      </c>
      <c r="G14" s="6"/>
      <c r="H14" s="12">
        <f>E12</f>
        <v>0</v>
      </c>
      <c r="I14" s="12" t="s">
        <v>8</v>
      </c>
      <c r="J14" s="12">
        <f>E11</f>
        <v>0</v>
      </c>
      <c r="K14" s="12"/>
      <c r="L14" s="8"/>
      <c r="M14" s="8"/>
    </row>
    <row r="15" spans="3:14" ht="20.149999999999999" customHeight="1" x14ac:dyDescent="0.35">
      <c r="C15" s="19">
        <v>5</v>
      </c>
      <c r="D15" s="19" t="s">
        <v>23</v>
      </c>
      <c r="E15" s="20">
        <f>E14-$E$11</f>
        <v>0</v>
      </c>
      <c r="G15" s="6"/>
      <c r="H15" s="12"/>
      <c r="I15" s="12"/>
      <c r="J15" s="12"/>
      <c r="K15" s="12"/>
      <c r="L15" s="8"/>
      <c r="M15" s="8"/>
    </row>
    <row r="16" spans="3:14" ht="20.149999999999999" customHeight="1" x14ac:dyDescent="0.35">
      <c r="C16" s="118" t="s">
        <v>87</v>
      </c>
      <c r="D16" s="118"/>
      <c r="E16" s="118"/>
      <c r="G16" s="6" t="s">
        <v>17</v>
      </c>
      <c r="H16" s="10">
        <f>H13-$J$13</f>
        <v>0</v>
      </c>
      <c r="I16" s="8" t="s">
        <v>107</v>
      </c>
      <c r="J16" s="11">
        <v>1</v>
      </c>
      <c r="K16" s="12"/>
      <c r="L16" s="11"/>
      <c r="M16" s="8"/>
    </row>
    <row r="17" spans="3:13" ht="20.149999999999999" customHeight="1" x14ac:dyDescent="0.35">
      <c r="C17" s="2">
        <v>1</v>
      </c>
      <c r="D17" s="2" t="s">
        <v>88</v>
      </c>
      <c r="E17" s="45" t="str">
        <f>H21</f>
        <v>0</v>
      </c>
      <c r="G17" s="6"/>
      <c r="H17" s="12">
        <f>H14-$J$14</f>
        <v>0</v>
      </c>
      <c r="I17" s="12"/>
      <c r="J17" s="12"/>
      <c r="K17" s="12"/>
      <c r="L17" s="8"/>
      <c r="M17" s="8"/>
    </row>
    <row r="18" spans="3:13" ht="20.149999999999999" customHeight="1" x14ac:dyDescent="0.35">
      <c r="H18" s="12" t="s">
        <v>4</v>
      </c>
      <c r="J18" s="12"/>
      <c r="K18" s="12"/>
      <c r="L18" s="8"/>
      <c r="M18" s="8"/>
    </row>
    <row r="19" spans="3:13" ht="20.149999999999999" customHeight="1" x14ac:dyDescent="0.35">
      <c r="G19" s="6" t="s">
        <v>17</v>
      </c>
      <c r="H19" s="8" t="str">
        <f>IFERROR($H$16/$H$17,"0")</f>
        <v>0</v>
      </c>
      <c r="I19" s="8" t="s">
        <v>107</v>
      </c>
      <c r="J19" s="11">
        <v>1</v>
      </c>
      <c r="K19" s="8"/>
      <c r="L19" s="8"/>
      <c r="M19" s="8"/>
    </row>
    <row r="20" spans="3:13" ht="20.149999999999999" customHeight="1" x14ac:dyDescent="0.35">
      <c r="G20" s="6"/>
      <c r="H20" s="12"/>
      <c r="J20" s="8"/>
      <c r="K20" s="13"/>
      <c r="L20" s="13"/>
    </row>
    <row r="21" spans="3:13" ht="20.149999999999999" customHeight="1" x14ac:dyDescent="0.35">
      <c r="G21" s="6" t="s">
        <v>85</v>
      </c>
      <c r="H21" s="44" t="str">
        <f>IFERROR($H$19,"0%")</f>
        <v>0</v>
      </c>
      <c r="I21" s="8" t="s">
        <v>13</v>
      </c>
      <c r="J21" s="8"/>
      <c r="K21" s="13"/>
      <c r="L21" s="13"/>
    </row>
    <row r="22" spans="3:13" ht="20.149999999999999" customHeight="1" x14ac:dyDescent="0.35">
      <c r="G22" s="6"/>
      <c r="H22" s="12"/>
      <c r="J22" s="11"/>
      <c r="K22" s="13"/>
      <c r="L22" s="13"/>
    </row>
    <row r="23" spans="3:13" ht="20.149999999999999" customHeight="1" x14ac:dyDescent="0.35">
      <c r="G23" s="6"/>
      <c r="K23" s="13"/>
      <c r="L23" s="13"/>
    </row>
    <row r="24" spans="3:13" ht="20.149999999999999" customHeight="1" x14ac:dyDescent="0.35">
      <c r="G24" s="6"/>
      <c r="H24" s="8"/>
      <c r="I24" s="8"/>
    </row>
    <row r="25" spans="3:13" ht="20.149999999999999" customHeight="1" x14ac:dyDescent="0.35">
      <c r="G25" s="113" t="s">
        <v>14</v>
      </c>
      <c r="H25" s="113"/>
      <c r="I25" s="113"/>
      <c r="J25" s="113"/>
      <c r="K25" s="113"/>
      <c r="L25" s="113"/>
    </row>
    <row r="27" spans="3:13" ht="20.149999999999999" customHeight="1" x14ac:dyDescent="0.35">
      <c r="G27" s="113" t="s">
        <v>4</v>
      </c>
      <c r="H27" s="113"/>
      <c r="I27" s="113"/>
      <c r="J27" s="113"/>
      <c r="K27" s="113"/>
      <c r="L27" s="113"/>
    </row>
    <row r="28" spans="3:13" ht="20.149999999999999" customHeight="1" x14ac:dyDescent="0.35">
      <c r="G28" s="116" t="s">
        <v>6</v>
      </c>
      <c r="H28" s="116"/>
      <c r="I28" s="116"/>
      <c r="J28" s="116"/>
      <c r="K28" s="116"/>
      <c r="L28" s="116"/>
    </row>
    <row r="30" spans="3:13" ht="20.149999999999999" customHeight="1" x14ac:dyDescent="0.35">
      <c r="G30" s="6" t="s">
        <v>85</v>
      </c>
      <c r="H30" s="7" t="s">
        <v>90</v>
      </c>
      <c r="I30" s="14" t="s">
        <v>107</v>
      </c>
      <c r="J30" s="11">
        <v>1</v>
      </c>
    </row>
    <row r="31" spans="3:13" ht="20.149999999999999" customHeight="1" x14ac:dyDescent="0.35">
      <c r="H31" s="13" t="s">
        <v>91</v>
      </c>
    </row>
    <row r="33" spans="4:10" ht="20.149999999999999" customHeight="1" x14ac:dyDescent="0.35">
      <c r="G33" s="6" t="s">
        <v>17</v>
      </c>
      <c r="H33" s="10">
        <f>E14-$E$11</f>
        <v>0</v>
      </c>
      <c r="I33" s="14" t="s">
        <v>107</v>
      </c>
      <c r="J33" s="11">
        <v>1</v>
      </c>
    </row>
    <row r="34" spans="4:10" ht="20.149999999999999" customHeight="1" x14ac:dyDescent="0.35">
      <c r="G34" s="6"/>
      <c r="H34" s="12">
        <f>E12-$E$11</f>
        <v>0</v>
      </c>
      <c r="I34" s="14"/>
      <c r="J34" s="14"/>
    </row>
    <row r="35" spans="4:10" ht="20.149999999999999" customHeight="1" x14ac:dyDescent="0.35">
      <c r="G35" s="6"/>
      <c r="H35" s="14"/>
      <c r="I35" s="14"/>
      <c r="J35" s="14"/>
    </row>
    <row r="36" spans="4:10" ht="20.149999999999999" customHeight="1" x14ac:dyDescent="0.35">
      <c r="G36" s="6" t="s">
        <v>17</v>
      </c>
      <c r="H36" s="12" t="str">
        <f>IFERROR($H$33/$H$34,"0")</f>
        <v>0</v>
      </c>
      <c r="I36" s="14" t="s">
        <v>107</v>
      </c>
      <c r="J36" s="11">
        <v>1</v>
      </c>
    </row>
    <row r="37" spans="4:10" ht="20.149999999999999" customHeight="1" x14ac:dyDescent="0.35">
      <c r="G37" s="6"/>
      <c r="H37" s="12"/>
      <c r="I37" s="14"/>
      <c r="J37" s="8"/>
    </row>
    <row r="38" spans="4:10" ht="20.149999999999999" customHeight="1" x14ac:dyDescent="0.35">
      <c r="G38" s="6" t="s">
        <v>85</v>
      </c>
      <c r="H38" s="8">
        <f>H36*100</f>
        <v>0</v>
      </c>
      <c r="I38" s="8" t="s">
        <v>13</v>
      </c>
      <c r="J38" s="11" t="s">
        <v>4</v>
      </c>
    </row>
    <row r="39" spans="4:10" ht="20.149999999999999" customHeight="1" x14ac:dyDescent="0.35">
      <c r="D39" s="5" t="s">
        <v>21</v>
      </c>
    </row>
    <row r="42" spans="4:10" ht="20.149999999999999" customHeight="1" x14ac:dyDescent="0.35">
      <c r="D42" s="5" t="s">
        <v>4</v>
      </c>
    </row>
    <row r="43" spans="4:10" ht="20.149999999999999" customHeight="1" x14ac:dyDescent="0.35">
      <c r="D43" s="33" t="s">
        <v>157</v>
      </c>
    </row>
  </sheetData>
  <mergeCells count="6">
    <mergeCell ref="G27:L27"/>
    <mergeCell ref="G28:L28"/>
    <mergeCell ref="G25:L25"/>
    <mergeCell ref="C3:N5"/>
    <mergeCell ref="G8:L8"/>
    <mergeCell ref="C16:E16"/>
  </mergeCells>
  <pageMargins left="0.7" right="0.7" top="0.75" bottom="0.75" header="0.3" footer="0.3"/>
  <pageSetup paperSize="9" scale="3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V128"/>
  <sheetViews>
    <sheetView showGridLines="0" topLeftCell="H67" zoomScale="10" zoomScaleNormal="10" zoomScaleSheetLayoutView="40" workbookViewId="0">
      <selection activeCell="AR118" sqref="AR118"/>
    </sheetView>
  </sheetViews>
  <sheetFormatPr defaultColWidth="9.1796875" defaultRowHeight="20.149999999999999" customHeight="1" x14ac:dyDescent="0.35"/>
  <cols>
    <col min="1" max="2" width="9.1796875" style="5"/>
    <col min="3" max="3" width="4.81640625" style="5" customWidth="1"/>
    <col min="4" max="4" width="28" style="5" customWidth="1"/>
    <col min="5" max="5" width="20.7265625" style="5" customWidth="1"/>
    <col min="6" max="6" width="15.7265625" style="5" customWidth="1"/>
    <col min="7" max="7" width="18" style="5" customWidth="1"/>
    <col min="8" max="8" width="39.7265625" style="5" customWidth="1"/>
    <col min="9" max="9" width="32" style="5" customWidth="1"/>
    <col min="10" max="10" width="22.54296875" style="5" customWidth="1"/>
    <col min="11" max="11" width="28" style="5" customWidth="1"/>
    <col min="12" max="12" width="3.1796875" style="5" customWidth="1"/>
    <col min="13" max="13" width="18.7265625" style="5" customWidth="1"/>
    <col min="14" max="14" width="3.1796875" style="5" customWidth="1"/>
    <col min="15" max="15" width="19.81640625" style="5" customWidth="1"/>
    <col min="16" max="19" width="9.1796875" style="5"/>
    <col min="20" max="20" width="10.453125" style="5" customWidth="1"/>
    <col min="21" max="16384" width="9.1796875" style="5"/>
  </cols>
  <sheetData>
    <row r="2" spans="3:22" ht="20.149999999999999" customHeight="1" thickBot="1" x14ac:dyDescent="0.4"/>
    <row r="3" spans="3:22" ht="20.149999999999999" customHeight="1" x14ac:dyDescent="0.35">
      <c r="C3" s="104" t="s">
        <v>27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/>
    </row>
    <row r="4" spans="3:22" ht="20.149999999999999" customHeight="1" x14ac:dyDescent="0.35"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</row>
    <row r="5" spans="3:22" ht="20.149999999999999" customHeight="1" thickBot="1" x14ac:dyDescent="0.4">
      <c r="C5" s="110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2"/>
    </row>
    <row r="8" spans="3:22" ht="20.149999999999999" customHeight="1" x14ac:dyDescent="0.35">
      <c r="C8" s="120" t="s">
        <v>5</v>
      </c>
      <c r="D8" s="120" t="s">
        <v>92</v>
      </c>
      <c r="E8" s="120" t="s">
        <v>93</v>
      </c>
      <c r="F8" s="122" t="s">
        <v>94</v>
      </c>
      <c r="G8" s="123"/>
      <c r="H8" s="120" t="s">
        <v>95</v>
      </c>
      <c r="I8" s="120" t="s">
        <v>31</v>
      </c>
      <c r="J8" s="33"/>
      <c r="L8" s="33"/>
      <c r="M8"/>
      <c r="N8"/>
      <c r="O8" s="8"/>
      <c r="P8" s="8"/>
      <c r="Q8" s="8"/>
      <c r="R8" s="8"/>
      <c r="S8" s="8"/>
      <c r="T8" s="8"/>
      <c r="U8" s="8"/>
      <c r="V8" s="8"/>
    </row>
    <row r="9" spans="3:22" ht="20.149999999999999" customHeight="1" x14ac:dyDescent="0.35">
      <c r="C9" s="121"/>
      <c r="D9" s="121"/>
      <c r="E9" s="121"/>
      <c r="F9" s="51" t="s">
        <v>33</v>
      </c>
      <c r="G9" s="51" t="s">
        <v>34</v>
      </c>
      <c r="H9" s="121"/>
      <c r="I9" s="121"/>
      <c r="J9" s="33"/>
      <c r="L9" s="33"/>
      <c r="M9"/>
      <c r="N9"/>
    </row>
    <row r="10" spans="3:22" ht="20.149999999999999" customHeight="1" x14ac:dyDescent="0.35">
      <c r="C10" s="1">
        <v>1</v>
      </c>
      <c r="D10" s="1" t="s">
        <v>103</v>
      </c>
      <c r="E10" s="1" t="s">
        <v>96</v>
      </c>
      <c r="F10" s="50">
        <v>0</v>
      </c>
      <c r="G10" s="50">
        <v>0</v>
      </c>
      <c r="H10" s="50">
        <f>G10-F10</f>
        <v>0</v>
      </c>
      <c r="I10" s="1" t="s">
        <v>4</v>
      </c>
      <c r="J10" s="33"/>
      <c r="L10" s="33"/>
      <c r="M10"/>
      <c r="N10"/>
    </row>
    <row r="11" spans="3:22" ht="20.149999999999999" customHeight="1" x14ac:dyDescent="0.35">
      <c r="C11" s="1">
        <v>2</v>
      </c>
      <c r="D11" s="1" t="s">
        <v>104</v>
      </c>
      <c r="E11" s="53"/>
      <c r="F11" s="50">
        <v>0</v>
      </c>
      <c r="G11" s="50">
        <v>0</v>
      </c>
      <c r="H11" s="50">
        <f t="shared" ref="H11" si="0">G11-F11</f>
        <v>0</v>
      </c>
      <c r="I11" s="53"/>
      <c r="J11" s="33"/>
      <c r="L11" s="33"/>
      <c r="M11"/>
      <c r="N11"/>
    </row>
    <row r="12" spans="3:22" ht="20.149999999999999" customHeight="1" x14ac:dyDescent="0.35">
      <c r="C12" s="130" t="s">
        <v>97</v>
      </c>
      <c r="D12" s="131"/>
      <c r="E12" s="131"/>
      <c r="F12" s="131"/>
      <c r="G12" s="132"/>
      <c r="H12" s="21">
        <f>AVERAGE(H10:H11)</f>
        <v>0</v>
      </c>
      <c r="I12" s="53"/>
      <c r="J12" s="33"/>
      <c r="L12" s="33"/>
      <c r="M12"/>
      <c r="N12"/>
    </row>
    <row r="13" spans="3:22" ht="20.149999999999999" customHeight="1" x14ac:dyDescent="0.35">
      <c r="J13" s="33"/>
      <c r="L13" s="33"/>
      <c r="M13"/>
      <c r="N13"/>
    </row>
    <row r="14" spans="3:22" ht="20.149999999999999" customHeight="1" x14ac:dyDescent="0.35">
      <c r="L14" s="33"/>
      <c r="M14"/>
      <c r="N14"/>
    </row>
    <row r="15" spans="3:22" ht="20.149999999999999" customHeight="1" x14ac:dyDescent="0.35">
      <c r="C15" s="33"/>
      <c r="D15" s="33"/>
      <c r="E15" s="33"/>
      <c r="F15" s="33"/>
      <c r="G15" s="33"/>
      <c r="H15" s="33"/>
      <c r="I15" s="33"/>
      <c r="L15" s="33"/>
      <c r="M15"/>
      <c r="N15"/>
    </row>
    <row r="16" spans="3:22" ht="20.149999999999999" customHeight="1" x14ac:dyDescent="0.35">
      <c r="C16"/>
      <c r="D16"/>
      <c r="E16"/>
      <c r="F16" s="133" t="s">
        <v>98</v>
      </c>
      <c r="G16" s="133"/>
      <c r="H16" s="133"/>
      <c r="I16" s="133"/>
      <c r="J16" s="133"/>
      <c r="K16" s="133"/>
      <c r="L16" s="133"/>
      <c r="M16" s="133"/>
      <c r="N16" s="133"/>
    </row>
    <row r="17" spans="3:22" ht="20.149999999999999" customHeight="1" x14ac:dyDescent="0.35">
      <c r="C17" s="57" t="s">
        <v>5</v>
      </c>
      <c r="D17" s="51" t="s">
        <v>32</v>
      </c>
      <c r="E17" s="51" t="s">
        <v>86</v>
      </c>
      <c r="F17" s="8"/>
      <c r="G17" s="8"/>
      <c r="H17" s="8"/>
      <c r="I17" s="8"/>
      <c r="J17" s="54"/>
      <c r="K17" s="54"/>
      <c r="L17" s="54"/>
      <c r="M17"/>
      <c r="N17"/>
    </row>
    <row r="18" spans="3:22" ht="20.149999999999999" customHeight="1" x14ac:dyDescent="0.35">
      <c r="C18" s="1">
        <v>1</v>
      </c>
      <c r="D18" s="2" t="s">
        <v>93</v>
      </c>
      <c r="E18" s="1">
        <v>0</v>
      </c>
      <c r="F18" s="8"/>
      <c r="G18" s="8" t="s">
        <v>99</v>
      </c>
      <c r="H18" s="7" t="str">
        <f>D18</f>
        <v>Volume Y (ml)</v>
      </c>
      <c r="I18" s="7" t="s">
        <v>106</v>
      </c>
      <c r="J18" s="7" t="str">
        <f>D19</f>
        <v>Konsentrasi Y (N, M)</v>
      </c>
      <c r="K18" s="8"/>
      <c r="L18" s="8"/>
      <c r="M18"/>
      <c r="N18"/>
    </row>
    <row r="19" spans="3:22" ht="20.149999999999999" customHeight="1" x14ac:dyDescent="0.35">
      <c r="C19" s="1">
        <v>2</v>
      </c>
      <c r="D19" s="2" t="s">
        <v>100</v>
      </c>
      <c r="E19" s="1">
        <v>0</v>
      </c>
      <c r="F19" s="8"/>
      <c r="G19" s="8" t="s">
        <v>4</v>
      </c>
      <c r="H19" s="108" t="s">
        <v>101</v>
      </c>
      <c r="I19" s="108"/>
      <c r="J19" s="108"/>
      <c r="K19" s="8" t="s">
        <v>4</v>
      </c>
      <c r="L19" s="8" t="s">
        <v>4</v>
      </c>
      <c r="M19"/>
      <c r="N19"/>
    </row>
    <row r="20" spans="3:22" ht="20.149999999999999" customHeight="1" x14ac:dyDescent="0.35">
      <c r="C20" s="1">
        <v>3</v>
      </c>
      <c r="D20" s="2" t="s">
        <v>133</v>
      </c>
      <c r="E20" s="21">
        <f>H12</f>
        <v>0</v>
      </c>
      <c r="F20" s="8"/>
      <c r="G20" s="8"/>
      <c r="H20" s="8"/>
      <c r="I20" s="8"/>
      <c r="J20" s="8"/>
      <c r="K20" s="8"/>
      <c r="L20" s="8"/>
      <c r="M20"/>
      <c r="N20"/>
    </row>
    <row r="21" spans="3:22" ht="20.149999999999999" customHeight="1" x14ac:dyDescent="0.35">
      <c r="C21" s="122" t="s">
        <v>87</v>
      </c>
      <c r="D21" s="135"/>
      <c r="E21" s="123"/>
      <c r="F21" s="8"/>
      <c r="G21"/>
      <c r="H21"/>
      <c r="I21"/>
      <c r="J21"/>
      <c r="K21" s="8"/>
      <c r="L21" s="8"/>
      <c r="M21"/>
      <c r="N21"/>
    </row>
    <row r="22" spans="3:22" ht="20.149999999999999" customHeight="1" x14ac:dyDescent="0.35">
      <c r="C22" s="1">
        <v>1</v>
      </c>
      <c r="D22" s="55" t="s">
        <v>102</v>
      </c>
      <c r="E22" s="56" t="str">
        <f>H28</f>
        <v>0</v>
      </c>
      <c r="F22" s="8"/>
      <c r="G22" s="6" t="s">
        <v>17</v>
      </c>
      <c r="H22" s="7">
        <f>E18</f>
        <v>0</v>
      </c>
      <c r="I22" s="7" t="s">
        <v>107</v>
      </c>
      <c r="J22" s="7">
        <f>E19</f>
        <v>0</v>
      </c>
      <c r="K22" s="8"/>
      <c r="L22" s="8"/>
      <c r="M22"/>
      <c r="N22"/>
    </row>
    <row r="23" spans="3:22" ht="20.149999999999999" customHeight="1" x14ac:dyDescent="0.35">
      <c r="C23" s="8"/>
      <c r="D23" s="8"/>
      <c r="E23" s="8"/>
      <c r="F23" s="8"/>
      <c r="G23" s="6"/>
      <c r="H23" s="134">
        <f>E20</f>
        <v>0</v>
      </c>
      <c r="I23" s="134"/>
      <c r="J23" s="134"/>
      <c r="K23" s="8"/>
      <c r="L23" s="8"/>
      <c r="M23"/>
      <c r="N23"/>
    </row>
    <row r="24" spans="3:22" ht="20.149999999999999" customHeight="1" x14ac:dyDescent="0.35">
      <c r="C24" s="8"/>
      <c r="D24" s="8"/>
      <c r="E24" s="8"/>
      <c r="F24" s="8"/>
      <c r="G24" s="6"/>
      <c r="H24" s="8"/>
      <c r="I24" s="8"/>
      <c r="J24" s="8"/>
      <c r="K24" s="8"/>
      <c r="L24" s="8"/>
      <c r="M24"/>
      <c r="N24"/>
    </row>
    <row r="25" spans="3:22" ht="20.149999999999999" customHeight="1" x14ac:dyDescent="0.35">
      <c r="C25" s="8" t="s">
        <v>109</v>
      </c>
      <c r="D25" s="8" t="s">
        <v>111</v>
      </c>
      <c r="E25" s="8"/>
      <c r="F25" s="8"/>
      <c r="G25" s="6" t="s">
        <v>17</v>
      </c>
      <c r="H25" s="7">
        <f>H22*J22</f>
        <v>0</v>
      </c>
      <c r="I25" s="8"/>
      <c r="J25" s="8"/>
      <c r="K25" s="8"/>
      <c r="L25" s="8"/>
      <c r="M25"/>
      <c r="N25"/>
    </row>
    <row r="26" spans="3:22" ht="20.149999999999999" customHeight="1" x14ac:dyDescent="0.35">
      <c r="C26" s="8" t="s">
        <v>108</v>
      </c>
      <c r="D26" s="8" t="s">
        <v>105</v>
      </c>
      <c r="E26" s="14"/>
      <c r="F26" s="8" t="s">
        <v>4</v>
      </c>
      <c r="G26" s="8"/>
      <c r="H26" s="49">
        <f>H23</f>
        <v>0</v>
      </c>
      <c r="I26" s="8"/>
      <c r="J26" s="8" t="s">
        <v>4</v>
      </c>
      <c r="K26" s="8"/>
      <c r="L26" s="8"/>
      <c r="M26"/>
      <c r="N26"/>
    </row>
    <row r="27" spans="3:22" ht="20.149999999999999" customHeight="1" x14ac:dyDescent="0.35">
      <c r="C27" s="14"/>
      <c r="D27" s="14"/>
      <c r="E27" s="14"/>
      <c r="F27" s="8"/>
      <c r="G27" s="8"/>
      <c r="H27" s="8"/>
      <c r="I27" s="8"/>
      <c r="J27" s="8"/>
      <c r="K27" s="8"/>
      <c r="L27" s="8"/>
      <c r="M27"/>
      <c r="N27"/>
    </row>
    <row r="28" spans="3:22" ht="20.149999999999999" customHeight="1" x14ac:dyDescent="0.35">
      <c r="C28" s="33"/>
      <c r="D28" s="33"/>
      <c r="E28" s="33"/>
      <c r="F28" s="33"/>
      <c r="G28" s="8" t="s">
        <v>99</v>
      </c>
      <c r="H28" s="12" t="str">
        <f>IFERROR(H25/H26,"0")</f>
        <v>0</v>
      </c>
      <c r="I28" s="8"/>
      <c r="J28" s="8"/>
      <c r="K28" s="8"/>
      <c r="L28" s="8"/>
      <c r="M28"/>
      <c r="N28"/>
    </row>
    <row r="32" spans="3:22" ht="20.149999999999999" customHeight="1" x14ac:dyDescent="0.35">
      <c r="C32" s="120" t="s">
        <v>5</v>
      </c>
      <c r="D32" s="120" t="s">
        <v>28</v>
      </c>
      <c r="E32" s="120" t="s">
        <v>45</v>
      </c>
      <c r="F32" s="122" t="s">
        <v>29</v>
      </c>
      <c r="G32" s="123"/>
      <c r="H32" s="120" t="s">
        <v>30</v>
      </c>
      <c r="I32" s="120" t="s">
        <v>31</v>
      </c>
      <c r="J32" s="8"/>
      <c r="K32" s="8"/>
      <c r="L32" s="8"/>
      <c r="M32" s="8"/>
      <c r="N32" s="8"/>
      <c r="O32" s="48"/>
      <c r="P32" s="48"/>
      <c r="Q32" s="48"/>
      <c r="R32" s="48"/>
      <c r="S32" s="48"/>
      <c r="T32" s="48"/>
      <c r="U32" s="8"/>
      <c r="V32" s="8"/>
    </row>
    <row r="33" spans="3:22" ht="20.149999999999999" customHeight="1" x14ac:dyDescent="0.35">
      <c r="C33" s="121"/>
      <c r="D33" s="121"/>
      <c r="E33" s="121"/>
      <c r="F33" s="51" t="s">
        <v>33</v>
      </c>
      <c r="G33" s="51" t="s">
        <v>34</v>
      </c>
      <c r="H33" s="121"/>
      <c r="I33" s="121"/>
      <c r="J33" s="8"/>
      <c r="K33" s="8"/>
      <c r="L33" s="8"/>
      <c r="M33" s="25"/>
      <c r="N33" s="8"/>
      <c r="O33" s="8"/>
      <c r="P33" s="8"/>
      <c r="Q33" s="8"/>
      <c r="R33" s="8"/>
      <c r="S33" s="8"/>
      <c r="T33" s="8"/>
      <c r="U33" s="8"/>
      <c r="V33" s="8"/>
    </row>
    <row r="34" spans="3:22" ht="20.149999999999999" customHeight="1" x14ac:dyDescent="0.35">
      <c r="C34" s="127" t="s">
        <v>38</v>
      </c>
      <c r="D34" s="128"/>
      <c r="E34" s="128"/>
      <c r="F34" s="128"/>
      <c r="G34" s="128"/>
      <c r="H34" s="128"/>
      <c r="I34" s="129"/>
      <c r="J34" s="8"/>
      <c r="K34" s="8"/>
      <c r="L34" s="8"/>
      <c r="M34" s="25"/>
      <c r="N34" s="8"/>
      <c r="O34" s="8"/>
      <c r="P34" s="8"/>
      <c r="Q34" s="8"/>
      <c r="R34" s="8"/>
      <c r="S34" s="8"/>
      <c r="T34" s="8"/>
      <c r="U34" s="8"/>
      <c r="V34" s="8"/>
    </row>
    <row r="35" spans="3:22" ht="20.149999999999999" customHeight="1" x14ac:dyDescent="0.35">
      <c r="C35" s="1">
        <v>1</v>
      </c>
      <c r="D35" s="1" t="s">
        <v>103</v>
      </c>
      <c r="E35" s="50">
        <v>0</v>
      </c>
      <c r="F35" s="50">
        <v>0</v>
      </c>
      <c r="G35" s="50">
        <v>0</v>
      </c>
      <c r="H35" s="50">
        <f>G35-F35</f>
        <v>0</v>
      </c>
      <c r="I35" s="1"/>
      <c r="J35" s="8"/>
      <c r="K35" s="8"/>
      <c r="L35" s="8"/>
      <c r="M35" s="8"/>
      <c r="N35" s="8"/>
      <c r="O35" s="22"/>
      <c r="P35" s="8"/>
      <c r="Q35" s="8"/>
      <c r="R35" s="8"/>
      <c r="S35" s="8"/>
      <c r="T35" s="8"/>
      <c r="U35" s="8"/>
      <c r="V35" s="8"/>
    </row>
    <row r="36" spans="3:22" ht="20.149999999999999" customHeight="1" x14ac:dyDescent="0.35">
      <c r="C36" s="1">
        <v>2</v>
      </c>
      <c r="D36" s="1" t="s">
        <v>104</v>
      </c>
      <c r="E36" s="50">
        <v>0</v>
      </c>
      <c r="F36" s="50">
        <v>0</v>
      </c>
      <c r="G36" s="50">
        <v>0</v>
      </c>
      <c r="H36" s="50">
        <f>G36-F36</f>
        <v>0</v>
      </c>
      <c r="I36" s="1"/>
      <c r="J36" s="8"/>
      <c r="K36" s="8"/>
      <c r="L36" s="8"/>
      <c r="M36" s="8"/>
      <c r="N36" s="8"/>
      <c r="P36" s="8"/>
      <c r="Q36" s="8"/>
      <c r="R36" s="8"/>
      <c r="S36" s="8"/>
      <c r="T36" s="8"/>
      <c r="U36" s="8"/>
      <c r="V36" s="8"/>
    </row>
    <row r="37" spans="3:22" ht="20.149999999999999" customHeight="1" x14ac:dyDescent="0.35">
      <c r="C37" s="130" t="s">
        <v>44</v>
      </c>
      <c r="D37" s="131"/>
      <c r="E37" s="131"/>
      <c r="F37" s="131"/>
      <c r="G37" s="132"/>
      <c r="H37" s="21">
        <f>AVERAGE(H35:H36)</f>
        <v>0</v>
      </c>
      <c r="I37" s="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3:22" ht="20.149999999999999" customHeight="1" x14ac:dyDescent="0.35">
      <c r="C38" s="127" t="s">
        <v>37</v>
      </c>
      <c r="D38" s="128"/>
      <c r="E38" s="128"/>
      <c r="F38" s="128"/>
      <c r="G38" s="128"/>
      <c r="H38" s="128"/>
      <c r="I38" s="12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3:22" ht="20.149999999999999" customHeight="1" x14ac:dyDescent="0.35">
      <c r="C39" s="1">
        <v>1</v>
      </c>
      <c r="D39" s="1" t="s">
        <v>103</v>
      </c>
      <c r="E39" s="50">
        <v>0</v>
      </c>
      <c r="F39" s="50">
        <v>0</v>
      </c>
      <c r="G39" s="50">
        <v>0</v>
      </c>
      <c r="H39" s="50">
        <f>G39-F39</f>
        <v>0</v>
      </c>
      <c r="I39" s="1"/>
      <c r="J39" s="8"/>
      <c r="K39" s="8"/>
      <c r="L39" s="8"/>
      <c r="M39" s="8"/>
      <c r="N39" s="8"/>
      <c r="O39" s="22"/>
      <c r="P39" s="8"/>
      <c r="Q39" s="8"/>
      <c r="R39" s="8"/>
      <c r="S39" s="8"/>
      <c r="T39" s="8"/>
      <c r="U39" s="8"/>
      <c r="V39" s="26"/>
    </row>
    <row r="40" spans="3:22" ht="20.149999999999999" customHeight="1" x14ac:dyDescent="0.35">
      <c r="C40" s="1">
        <v>2</v>
      </c>
      <c r="D40" s="1" t="s">
        <v>104</v>
      </c>
      <c r="E40" s="50">
        <v>0</v>
      </c>
      <c r="F40" s="50">
        <v>0</v>
      </c>
      <c r="G40" s="50">
        <v>0</v>
      </c>
      <c r="H40" s="50">
        <f>G40-F40</f>
        <v>0</v>
      </c>
      <c r="I40" s="1"/>
      <c r="J40" s="8"/>
      <c r="K40" s="8"/>
      <c r="L40" s="8"/>
      <c r="M40" s="12"/>
      <c r="N40" s="8"/>
      <c r="P40" s="8"/>
      <c r="Q40" s="8"/>
      <c r="R40" s="8"/>
      <c r="S40" s="8"/>
      <c r="T40" s="8"/>
      <c r="U40" s="8"/>
      <c r="V40" s="8"/>
    </row>
    <row r="41" spans="3:22" ht="20.149999999999999" customHeight="1" x14ac:dyDescent="0.35">
      <c r="C41" s="130" t="s">
        <v>39</v>
      </c>
      <c r="D41" s="131"/>
      <c r="E41" s="131"/>
      <c r="F41" s="131"/>
      <c r="G41" s="132"/>
      <c r="H41" s="21">
        <f>AVERAGE(H35:H36)</f>
        <v>0</v>
      </c>
      <c r="I41" s="1"/>
      <c r="J41" s="8"/>
      <c r="K41" s="8"/>
      <c r="L41" s="8"/>
      <c r="M41" s="12"/>
      <c r="N41" s="8"/>
      <c r="P41" s="8"/>
      <c r="Q41" s="8"/>
      <c r="R41" s="8"/>
      <c r="S41" s="8"/>
      <c r="T41" s="8"/>
      <c r="U41" s="8"/>
      <c r="V41" s="8"/>
    </row>
    <row r="42" spans="3:22" ht="20.149999999999999" customHeight="1" x14ac:dyDescent="0.35">
      <c r="C42" s="8"/>
      <c r="D42" s="8"/>
      <c r="E42" s="8"/>
      <c r="F42" s="8"/>
      <c r="G42" s="8"/>
      <c r="H42" s="8"/>
      <c r="I42" s="8"/>
      <c r="J42" s="8"/>
      <c r="K42" s="8"/>
      <c r="L42" s="8"/>
      <c r="M42" s="12"/>
      <c r="N42" s="8"/>
      <c r="P42" s="8"/>
      <c r="Q42" s="8"/>
      <c r="R42" s="8"/>
      <c r="S42" s="8"/>
      <c r="T42" s="8"/>
      <c r="U42" s="8"/>
      <c r="V42" s="8"/>
    </row>
    <row r="43" spans="3:22" ht="20.149999999999999" customHeight="1" x14ac:dyDescent="0.3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3:22" ht="20.149999999999999" customHeight="1" x14ac:dyDescent="0.35">
      <c r="C44" s="108" t="s">
        <v>40</v>
      </c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8"/>
      <c r="Q44" s="8"/>
      <c r="R44" s="8"/>
      <c r="S44" s="8"/>
      <c r="T44" s="8"/>
      <c r="U44" s="8"/>
      <c r="V44" s="8"/>
    </row>
    <row r="45" spans="3:22" ht="20.149999999999999" customHeight="1" x14ac:dyDescent="0.35">
      <c r="C45" s="8"/>
      <c r="D45" s="8"/>
      <c r="E45" s="8"/>
      <c r="F45" s="8"/>
      <c r="G45" s="8"/>
      <c r="H45" s="8"/>
      <c r="I45" s="8" t="s">
        <v>4</v>
      </c>
      <c r="J45" s="8"/>
      <c r="K45" s="8"/>
      <c r="L45" s="8"/>
      <c r="M45" s="8"/>
      <c r="N45" s="8"/>
      <c r="O45" s="6" t="s">
        <v>4</v>
      </c>
      <c r="P45" s="8"/>
      <c r="Q45" s="8"/>
      <c r="R45" s="8"/>
      <c r="S45" s="8"/>
      <c r="T45" s="8"/>
      <c r="U45" s="8"/>
      <c r="V45" s="8"/>
    </row>
    <row r="46" spans="3:22" ht="20.149999999999999" customHeight="1" x14ac:dyDescent="0.3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6"/>
      <c r="P46" s="8"/>
      <c r="Q46" s="8"/>
      <c r="R46" s="8"/>
      <c r="S46" s="8"/>
      <c r="T46" s="8"/>
      <c r="U46" s="8"/>
      <c r="V46" s="8"/>
    </row>
    <row r="47" spans="3:22" ht="20.149999999999999" customHeight="1" x14ac:dyDescent="0.35">
      <c r="C47" s="51" t="s">
        <v>5</v>
      </c>
      <c r="D47" s="51" t="s">
        <v>32</v>
      </c>
      <c r="E47" s="51" t="s">
        <v>86</v>
      </c>
      <c r="G47" s="8"/>
      <c r="H47" s="48" t="s">
        <v>57</v>
      </c>
      <c r="I47" s="48"/>
      <c r="J47" s="48"/>
      <c r="K47" s="48"/>
      <c r="L47" s="48"/>
      <c r="M47" s="48"/>
      <c r="N47" s="48"/>
      <c r="O47" s="48"/>
      <c r="P47" s="8"/>
      <c r="Q47" s="8" t="s">
        <v>4</v>
      </c>
      <c r="R47" s="8"/>
      <c r="S47" s="8"/>
      <c r="T47" s="8"/>
      <c r="U47" s="8"/>
      <c r="V47" s="8"/>
    </row>
    <row r="48" spans="3:22" ht="20.149999999999999" customHeight="1" x14ac:dyDescent="0.35">
      <c r="C48" s="1">
        <v>1</v>
      </c>
      <c r="D48" s="2" t="s">
        <v>130</v>
      </c>
      <c r="E48" s="21">
        <f>H37</f>
        <v>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3:22" ht="20.149999999999999" customHeight="1" x14ac:dyDescent="0.35">
      <c r="C49" s="1">
        <v>2</v>
      </c>
      <c r="D49" s="2" t="s">
        <v>132</v>
      </c>
      <c r="E49" s="21">
        <f>H41</f>
        <v>0</v>
      </c>
      <c r="G49" s="8"/>
      <c r="H49" s="6" t="s">
        <v>48</v>
      </c>
      <c r="I49" s="7" t="s">
        <v>46</v>
      </c>
      <c r="J49" s="7" t="s">
        <v>107</v>
      </c>
      <c r="K49" s="7" t="str">
        <f>D52</f>
        <v>Konsentrasi Penitar (N, M)</v>
      </c>
      <c r="L49" s="7" t="s">
        <v>12</v>
      </c>
      <c r="M49" s="7" t="str">
        <f>D53</f>
        <v>Ketetapan Protein</v>
      </c>
      <c r="N49" s="7" t="s">
        <v>12</v>
      </c>
      <c r="O49" s="7" t="str">
        <f>D54</f>
        <v>Faktor Pengenceran</v>
      </c>
      <c r="P49" s="8"/>
      <c r="Q49" s="8"/>
      <c r="R49" s="8"/>
      <c r="S49" s="8"/>
      <c r="T49" s="8"/>
      <c r="U49" s="8"/>
      <c r="V49" s="8"/>
    </row>
    <row r="50" spans="3:22" ht="20.149999999999999" customHeight="1" x14ac:dyDescent="0.35">
      <c r="C50" s="1">
        <v>3</v>
      </c>
      <c r="D50" s="2" t="s">
        <v>43</v>
      </c>
      <c r="E50" s="4">
        <v>0</v>
      </c>
      <c r="G50" s="8"/>
      <c r="H50" s="6"/>
      <c r="I50" s="115" t="str">
        <f>D50</f>
        <v>Massa Sampel (mg)</v>
      </c>
      <c r="J50" s="115"/>
      <c r="K50" s="115"/>
      <c r="L50" s="115"/>
      <c r="M50" s="115"/>
      <c r="N50" s="115"/>
      <c r="O50" s="115"/>
      <c r="P50" s="8"/>
      <c r="Q50" s="8"/>
      <c r="R50" s="8"/>
      <c r="S50" s="8"/>
      <c r="T50" s="8"/>
      <c r="U50" s="8"/>
      <c r="V50" s="8"/>
    </row>
    <row r="51" spans="3:22" ht="20.149999999999999" customHeight="1" x14ac:dyDescent="0.35">
      <c r="C51" s="1">
        <v>5</v>
      </c>
      <c r="D51" s="2" t="s">
        <v>41</v>
      </c>
      <c r="E51" s="1" t="s">
        <v>42</v>
      </c>
      <c r="G51" s="8"/>
      <c r="P51" s="12"/>
      <c r="Q51" s="8"/>
      <c r="R51" s="8"/>
      <c r="S51" s="8"/>
      <c r="T51" s="8"/>
      <c r="U51" s="8"/>
      <c r="V51" s="8"/>
    </row>
    <row r="52" spans="3:22" ht="20.149999999999999" customHeight="1" x14ac:dyDescent="0.35">
      <c r="C52" s="1">
        <v>6</v>
      </c>
      <c r="D52" s="2" t="s">
        <v>35</v>
      </c>
      <c r="E52" s="1">
        <v>0</v>
      </c>
      <c r="G52" s="8"/>
      <c r="H52" s="6" t="s">
        <v>17</v>
      </c>
      <c r="I52" s="27">
        <f>E48-E49</f>
        <v>0</v>
      </c>
      <c r="J52" s="7" t="s">
        <v>107</v>
      </c>
      <c r="K52" s="7">
        <f>E52</f>
        <v>0</v>
      </c>
      <c r="L52" s="7" t="s">
        <v>107</v>
      </c>
      <c r="M52" s="7">
        <f>E53</f>
        <v>14.007</v>
      </c>
      <c r="N52" s="7" t="s">
        <v>107</v>
      </c>
      <c r="O52" s="23">
        <f>E54</f>
        <v>0</v>
      </c>
    </row>
    <row r="53" spans="3:22" ht="20.149999999999999" customHeight="1" x14ac:dyDescent="0.35">
      <c r="C53" s="1">
        <v>7</v>
      </c>
      <c r="D53" s="2" t="s">
        <v>47</v>
      </c>
      <c r="E53" s="1">
        <v>14.007</v>
      </c>
      <c r="G53" s="8"/>
      <c r="H53" s="6" t="s">
        <v>4</v>
      </c>
      <c r="I53" s="134">
        <f>E50</f>
        <v>0</v>
      </c>
      <c r="J53" s="134"/>
      <c r="K53" s="134"/>
      <c r="L53" s="134"/>
      <c r="M53" s="134"/>
      <c r="N53" s="134"/>
      <c r="O53" s="134"/>
    </row>
    <row r="54" spans="3:22" ht="20.149999999999999" customHeight="1" x14ac:dyDescent="0.35">
      <c r="C54" s="1">
        <v>8</v>
      </c>
      <c r="D54" s="2" t="s">
        <v>36</v>
      </c>
      <c r="E54" s="1">
        <v>0</v>
      </c>
      <c r="G54" s="8"/>
      <c r="H54" s="6"/>
    </row>
    <row r="55" spans="3:22" ht="20.149999999999999" customHeight="1" x14ac:dyDescent="0.35">
      <c r="C55" s="124" t="s">
        <v>87</v>
      </c>
      <c r="D55" s="125"/>
      <c r="E55" s="126"/>
      <c r="G55" s="8"/>
      <c r="H55" s="6" t="s">
        <v>17</v>
      </c>
      <c r="I55" s="7">
        <f>PRODUCT(I52:O52)</f>
        <v>0</v>
      </c>
      <c r="J55" s="8"/>
      <c r="K55" s="8"/>
      <c r="L55" s="8"/>
      <c r="M55" s="8"/>
      <c r="N55" s="8"/>
      <c r="O55" s="8"/>
    </row>
    <row r="56" spans="3:22" ht="20.149999999999999" customHeight="1" x14ac:dyDescent="0.35">
      <c r="C56" s="1">
        <v>1</v>
      </c>
      <c r="D56" s="2" t="s">
        <v>50</v>
      </c>
      <c r="E56" s="30" t="str">
        <f>I59</f>
        <v>0%</v>
      </c>
      <c r="G56" s="8"/>
      <c r="H56" s="6"/>
      <c r="I56" s="25">
        <f>I53</f>
        <v>0</v>
      </c>
      <c r="J56" s="8"/>
      <c r="K56" s="8"/>
      <c r="L56" s="8"/>
      <c r="M56" s="8"/>
      <c r="N56" s="8"/>
      <c r="O56" s="8"/>
    </row>
    <row r="57" spans="3:22" ht="20.149999999999999" customHeight="1" x14ac:dyDescent="0.35">
      <c r="G57" s="8"/>
      <c r="H57" s="6"/>
      <c r="J57" s="8"/>
      <c r="K57" s="8"/>
      <c r="L57" s="8"/>
      <c r="M57" s="8"/>
      <c r="N57" s="8"/>
      <c r="O57" s="8"/>
    </row>
    <row r="58" spans="3:22" ht="20.149999999999999" customHeight="1" x14ac:dyDescent="0.35">
      <c r="C58" s="8"/>
      <c r="D58" s="8"/>
      <c r="E58" s="8"/>
      <c r="G58" s="8"/>
      <c r="H58" s="6"/>
      <c r="I58" s="8"/>
      <c r="J58" s="8" t="s">
        <v>4</v>
      </c>
      <c r="K58" s="8"/>
      <c r="L58" s="8"/>
      <c r="M58" s="8"/>
      <c r="N58" s="8"/>
      <c r="O58" s="8"/>
    </row>
    <row r="59" spans="3:22" ht="20.149999999999999" customHeight="1" x14ac:dyDescent="0.35">
      <c r="C59" s="8"/>
      <c r="D59" s="8"/>
      <c r="E59" s="8"/>
      <c r="G59" s="8"/>
      <c r="H59" s="22" t="s">
        <v>49</v>
      </c>
      <c r="I59" s="29" t="str">
        <f>IFERROR(I55/I56,"0%")</f>
        <v>0%</v>
      </c>
      <c r="J59" s="8"/>
      <c r="K59" s="8"/>
      <c r="L59" s="8"/>
      <c r="M59" s="8"/>
      <c r="N59" s="8"/>
      <c r="O59" s="8"/>
      <c r="S59" s="5">
        <v>100</v>
      </c>
      <c r="T59" s="28" t="s">
        <v>4</v>
      </c>
    </row>
    <row r="60" spans="3:22" ht="20.149999999999999" customHeight="1" x14ac:dyDescent="0.35">
      <c r="C60" s="14"/>
      <c r="D60" s="14"/>
      <c r="E60" s="14"/>
      <c r="G60" s="8" t="s">
        <v>4</v>
      </c>
    </row>
    <row r="61" spans="3:22" ht="20.149999999999999" customHeight="1" x14ac:dyDescent="0.35">
      <c r="G61" s="6"/>
      <c r="H61" s="48" t="s">
        <v>55</v>
      </c>
      <c r="I61" s="48"/>
      <c r="J61" s="48"/>
      <c r="K61" s="48"/>
      <c r="L61" s="48"/>
      <c r="M61" s="48"/>
      <c r="N61" s="48"/>
      <c r="O61" s="48"/>
    </row>
    <row r="62" spans="3:22" ht="20.149999999999999" customHeight="1" x14ac:dyDescent="0.35">
      <c r="G62" s="6"/>
      <c r="H62" s="12"/>
      <c r="I62" s="14"/>
      <c r="J62" s="14"/>
    </row>
    <row r="63" spans="3:22" ht="20.149999999999999" customHeight="1" x14ac:dyDescent="0.35">
      <c r="C63" s="51" t="s">
        <v>5</v>
      </c>
      <c r="D63" s="51" t="s">
        <v>32</v>
      </c>
      <c r="E63" s="51" t="s">
        <v>86</v>
      </c>
      <c r="G63" s="6"/>
      <c r="H63" s="6" t="s">
        <v>56</v>
      </c>
      <c r="I63" s="8" t="str">
        <f>D64</f>
        <v xml:space="preserve">% Nitrogen </v>
      </c>
      <c r="J63" s="8" t="s">
        <v>107</v>
      </c>
      <c r="K63" s="13" t="str">
        <f>D66</f>
        <v>Faktor Konversi</v>
      </c>
    </row>
    <row r="64" spans="3:22" ht="20.149999999999999" customHeight="1" x14ac:dyDescent="0.35">
      <c r="C64" s="1">
        <v>1</v>
      </c>
      <c r="D64" s="2" t="str">
        <f>D56</f>
        <v xml:space="preserve">% Nitrogen </v>
      </c>
      <c r="E64" s="30" t="str">
        <f>E56</f>
        <v>0%</v>
      </c>
      <c r="G64" s="6"/>
      <c r="H64" s="22" t="s">
        <v>17</v>
      </c>
      <c r="I64" s="11" t="str">
        <f>E64</f>
        <v>0%</v>
      </c>
      <c r="J64" s="8" t="s">
        <v>107</v>
      </c>
      <c r="K64" s="13" t="str">
        <f>E66</f>
        <v>0</v>
      </c>
    </row>
    <row r="65" spans="3:15" ht="20.149999999999999" customHeight="1" x14ac:dyDescent="0.35">
      <c r="C65" s="1">
        <v>2</v>
      </c>
      <c r="D65" s="2" t="s">
        <v>37</v>
      </c>
      <c r="E65" s="30" t="s">
        <v>4</v>
      </c>
      <c r="G65" s="6"/>
      <c r="H65" s="22"/>
      <c r="I65" s="11"/>
      <c r="J65" s="8"/>
      <c r="K65" s="13"/>
    </row>
    <row r="66" spans="3:15" ht="20.149999999999999" customHeight="1" x14ac:dyDescent="0.35">
      <c r="C66" s="1">
        <v>3</v>
      </c>
      <c r="D66" s="2" t="s">
        <v>53</v>
      </c>
      <c r="E66" s="1" t="str">
        <f>IFERROR(VLOOKUP(E65,D105:E122,2,FALSE),"0")</f>
        <v>0</v>
      </c>
      <c r="G66" s="6"/>
      <c r="H66" s="6" t="s">
        <v>56</v>
      </c>
      <c r="I66" s="43">
        <f>PRODUCT(I64:K64)</f>
        <v>0</v>
      </c>
      <c r="J66" s="14"/>
    </row>
    <row r="67" spans="3:15" ht="20.149999999999999" customHeight="1" x14ac:dyDescent="0.35">
      <c r="C67" s="124" t="s">
        <v>87</v>
      </c>
      <c r="D67" s="125"/>
      <c r="E67" s="126"/>
      <c r="G67" s="6"/>
      <c r="H67" s="6"/>
      <c r="I67" s="28"/>
      <c r="J67" s="14"/>
    </row>
    <row r="68" spans="3:15" ht="20.149999999999999" customHeight="1" x14ac:dyDescent="0.35">
      <c r="C68" s="1">
        <v>1</v>
      </c>
      <c r="D68" s="2" t="s">
        <v>54</v>
      </c>
      <c r="E68" s="42">
        <f>I66</f>
        <v>0</v>
      </c>
      <c r="G68" s="6"/>
      <c r="H68" s="14"/>
      <c r="I68" s="14"/>
      <c r="J68" s="14"/>
    </row>
    <row r="70" spans="3:15" ht="20.149999999999999" customHeight="1" x14ac:dyDescent="0.35">
      <c r="C70" s="8"/>
      <c r="D70" s="8"/>
      <c r="E70" s="8"/>
      <c r="G70" s="6"/>
      <c r="H70" s="14"/>
      <c r="I70" s="14"/>
      <c r="J70" s="14"/>
    </row>
    <row r="71" spans="3:15" ht="20.149999999999999" customHeight="1" x14ac:dyDescent="0.3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3:15" ht="20.149999999999999" customHeight="1" x14ac:dyDescent="0.35">
      <c r="C72" s="108" t="s">
        <v>51</v>
      </c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</row>
    <row r="73" spans="3:15" ht="20.149999999999999" customHeight="1" x14ac:dyDescent="0.35">
      <c r="C73" s="8"/>
      <c r="D73" s="8"/>
      <c r="E73" s="8"/>
      <c r="F73" s="8"/>
      <c r="G73" s="8"/>
      <c r="H73" s="8"/>
      <c r="I73" s="8" t="s">
        <v>4</v>
      </c>
      <c r="J73" s="8"/>
      <c r="K73" s="8"/>
      <c r="L73" s="8"/>
      <c r="M73" s="8"/>
      <c r="N73" s="8"/>
      <c r="O73" s="6" t="s">
        <v>4</v>
      </c>
    </row>
    <row r="74" spans="3:15" ht="20.149999999999999" customHeight="1" x14ac:dyDescent="0.3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6"/>
    </row>
    <row r="75" spans="3:15" ht="20.149999999999999" customHeight="1" x14ac:dyDescent="0.35">
      <c r="C75" s="51" t="s">
        <v>5</v>
      </c>
      <c r="D75" s="51" t="s">
        <v>32</v>
      </c>
      <c r="E75" s="51" t="s">
        <v>86</v>
      </c>
      <c r="G75" s="8"/>
      <c r="H75" s="48" t="s">
        <v>57</v>
      </c>
      <c r="I75" s="48"/>
      <c r="J75" s="48"/>
      <c r="K75" s="48"/>
      <c r="L75" s="48"/>
      <c r="M75" s="48"/>
      <c r="N75" s="48"/>
      <c r="O75" s="48"/>
    </row>
    <row r="76" spans="3:15" ht="20.149999999999999" customHeight="1" x14ac:dyDescent="0.35">
      <c r="C76" s="1">
        <v>1</v>
      </c>
      <c r="D76" s="2" t="s">
        <v>130</v>
      </c>
      <c r="E76" s="21">
        <f>H37</f>
        <v>0</v>
      </c>
      <c r="G76" s="8"/>
      <c r="H76" s="8"/>
      <c r="I76" s="8"/>
      <c r="J76" s="8"/>
      <c r="K76" s="8"/>
      <c r="L76" s="8"/>
      <c r="M76" s="8"/>
      <c r="N76" s="8"/>
      <c r="O76" s="8"/>
    </row>
    <row r="77" spans="3:15" ht="20.149999999999999" customHeight="1" x14ac:dyDescent="0.35">
      <c r="C77" s="1">
        <v>2</v>
      </c>
      <c r="D77" s="2" t="s">
        <v>131</v>
      </c>
      <c r="E77" s="21">
        <f>H41</f>
        <v>0</v>
      </c>
      <c r="G77" s="8"/>
      <c r="H77" s="6" t="s">
        <v>48</v>
      </c>
      <c r="I77" s="7" t="s">
        <v>46</v>
      </c>
      <c r="J77" s="7" t="s">
        <v>107</v>
      </c>
      <c r="K77" s="7" t="str">
        <f>D80</f>
        <v>Konsentrasi Penitar (N, M)</v>
      </c>
      <c r="L77" s="7" t="s">
        <v>12</v>
      </c>
      <c r="M77" s="7" t="str">
        <f>D81</f>
        <v>Ketetapan Protein</v>
      </c>
      <c r="N77" s="7" t="s">
        <v>12</v>
      </c>
      <c r="O77" s="7" t="str">
        <f>D82</f>
        <v>Faktor Pengenceran</v>
      </c>
    </row>
    <row r="78" spans="3:15" ht="20.149999999999999" customHeight="1" x14ac:dyDescent="0.35">
      <c r="C78" s="1">
        <v>3</v>
      </c>
      <c r="D78" s="2" t="s">
        <v>43</v>
      </c>
      <c r="E78" s="21">
        <v>0</v>
      </c>
      <c r="G78" s="8"/>
      <c r="H78" s="6"/>
      <c r="I78" s="46" t="str">
        <f>D78</f>
        <v>Massa Sampel (mg)</v>
      </c>
      <c r="J78" s="46"/>
      <c r="K78" s="46"/>
      <c r="L78" s="46"/>
      <c r="M78" s="46"/>
      <c r="N78" s="46"/>
      <c r="O78" s="46"/>
    </row>
    <row r="79" spans="3:15" ht="20.149999999999999" customHeight="1" x14ac:dyDescent="0.35">
      <c r="C79" s="1">
        <v>5</v>
      </c>
      <c r="D79" s="2" t="s">
        <v>41</v>
      </c>
      <c r="E79" s="1" t="s">
        <v>52</v>
      </c>
      <c r="G79" s="8"/>
    </row>
    <row r="80" spans="3:15" ht="20.149999999999999" customHeight="1" x14ac:dyDescent="0.35">
      <c r="C80" s="1">
        <v>6</v>
      </c>
      <c r="D80" s="2" t="s">
        <v>35</v>
      </c>
      <c r="E80" s="1">
        <v>0</v>
      </c>
      <c r="G80" s="8"/>
      <c r="H80" s="6"/>
      <c r="I80" s="27">
        <f>E76-E77</f>
        <v>0</v>
      </c>
      <c r="J80" s="7" t="s">
        <v>107</v>
      </c>
      <c r="K80" s="7">
        <f>E80</f>
        <v>0</v>
      </c>
      <c r="L80" s="7" t="s">
        <v>107</v>
      </c>
      <c r="M80" s="7">
        <f>E81</f>
        <v>14.007</v>
      </c>
      <c r="N80" s="7" t="s">
        <v>107</v>
      </c>
      <c r="O80" s="23">
        <f>E82</f>
        <v>0</v>
      </c>
    </row>
    <row r="81" spans="3:15" ht="20.149999999999999" customHeight="1" x14ac:dyDescent="0.35">
      <c r="C81" s="1">
        <v>7</v>
      </c>
      <c r="D81" s="2" t="s">
        <v>47</v>
      </c>
      <c r="E81" s="1">
        <v>14.007</v>
      </c>
      <c r="G81" s="8"/>
      <c r="H81" s="6" t="s">
        <v>17</v>
      </c>
      <c r="I81" s="49">
        <f>E78</f>
        <v>0</v>
      </c>
      <c r="J81" s="49"/>
      <c r="K81" s="49"/>
      <c r="L81" s="49"/>
      <c r="M81" s="49"/>
      <c r="N81" s="49"/>
      <c r="O81" s="49"/>
    </row>
    <row r="82" spans="3:15" ht="20.149999999999999" customHeight="1" x14ac:dyDescent="0.35">
      <c r="C82" s="1">
        <v>8</v>
      </c>
      <c r="D82" s="2" t="s">
        <v>36</v>
      </c>
      <c r="E82" s="1">
        <v>0</v>
      </c>
      <c r="G82" s="8"/>
      <c r="H82" s="6"/>
    </row>
    <row r="83" spans="3:15" ht="20.149999999999999" customHeight="1" x14ac:dyDescent="0.35">
      <c r="C83" s="124" t="s">
        <v>87</v>
      </c>
      <c r="D83" s="125"/>
      <c r="E83" s="126"/>
      <c r="G83" s="8"/>
      <c r="H83" s="6"/>
    </row>
    <row r="84" spans="3:15" ht="20.149999999999999" customHeight="1" x14ac:dyDescent="0.35">
      <c r="C84" s="1">
        <v>1</v>
      </c>
      <c r="D84" s="2" t="s">
        <v>50</v>
      </c>
      <c r="E84" s="30" t="str">
        <f>I87</f>
        <v>0%</v>
      </c>
      <c r="G84" s="8"/>
      <c r="H84" s="6" t="s">
        <v>17</v>
      </c>
      <c r="I84" s="7">
        <f>PRODUCT(I80:O80)</f>
        <v>0</v>
      </c>
      <c r="J84" s="8"/>
      <c r="K84" s="8"/>
      <c r="L84" s="8"/>
      <c r="M84" s="8"/>
      <c r="N84" s="8"/>
      <c r="O84" s="8"/>
    </row>
    <row r="85" spans="3:15" ht="20.149999999999999" customHeight="1" x14ac:dyDescent="0.35">
      <c r="G85" s="8"/>
      <c r="H85" s="6"/>
      <c r="I85" s="25">
        <f>I81</f>
        <v>0</v>
      </c>
      <c r="J85" s="8"/>
      <c r="K85" s="8"/>
      <c r="L85" s="8"/>
      <c r="M85" s="8"/>
      <c r="N85" s="8"/>
      <c r="O85" s="8"/>
    </row>
    <row r="86" spans="3:15" ht="20.149999999999999" customHeight="1" x14ac:dyDescent="0.35">
      <c r="C86" s="8"/>
      <c r="D86" s="8"/>
      <c r="E86" s="8"/>
      <c r="G86" s="8"/>
      <c r="H86" s="6"/>
      <c r="I86" s="8"/>
      <c r="J86" s="8" t="s">
        <v>4</v>
      </c>
      <c r="K86" s="8"/>
      <c r="L86" s="8"/>
      <c r="M86" s="8"/>
      <c r="N86" s="8"/>
      <c r="O86" s="8"/>
    </row>
    <row r="87" spans="3:15" ht="20.149999999999999" customHeight="1" x14ac:dyDescent="0.35">
      <c r="C87" s="8"/>
      <c r="D87" s="8"/>
      <c r="E87" s="8"/>
      <c r="G87" s="8"/>
      <c r="H87" s="22" t="s">
        <v>49</v>
      </c>
      <c r="I87" s="29" t="str">
        <f>IFERROR(I55/I56,"0%")</f>
        <v>0%</v>
      </c>
      <c r="J87" s="8"/>
      <c r="K87" s="8"/>
      <c r="L87" s="8"/>
      <c r="M87" s="8"/>
      <c r="N87" s="8"/>
      <c r="O87" s="8"/>
    </row>
    <row r="88" spans="3:15" ht="20.149999999999999" customHeight="1" x14ac:dyDescent="0.35">
      <c r="C88" s="14"/>
      <c r="D88" s="14"/>
      <c r="E88" s="14"/>
      <c r="G88" s="8" t="s">
        <v>4</v>
      </c>
    </row>
    <row r="90" spans="3:15" ht="20.149999999999999" customHeight="1" x14ac:dyDescent="0.35">
      <c r="G90" s="6"/>
      <c r="H90" s="48" t="s">
        <v>55</v>
      </c>
      <c r="I90" s="48"/>
      <c r="J90" s="48"/>
      <c r="K90" s="48"/>
      <c r="L90" s="48"/>
      <c r="M90" s="48"/>
      <c r="N90" s="48"/>
      <c r="O90" s="48"/>
    </row>
    <row r="91" spans="3:15" ht="20.149999999999999" customHeight="1" x14ac:dyDescent="0.35">
      <c r="G91" s="6"/>
      <c r="H91" s="12"/>
      <c r="I91" s="14"/>
      <c r="J91" s="14"/>
    </row>
    <row r="92" spans="3:15" ht="20.149999999999999" customHeight="1" x14ac:dyDescent="0.35">
      <c r="C92" s="51" t="s">
        <v>5</v>
      </c>
      <c r="D92" s="51" t="s">
        <v>32</v>
      </c>
      <c r="E92" s="51" t="s">
        <v>86</v>
      </c>
      <c r="G92" s="6"/>
      <c r="H92" s="6" t="s">
        <v>56</v>
      </c>
      <c r="I92" s="8" t="str">
        <f>D93</f>
        <v xml:space="preserve">% Nitrogen </v>
      </c>
      <c r="J92" s="8" t="s">
        <v>107</v>
      </c>
      <c r="K92" s="13" t="str">
        <f>D95</f>
        <v>Faktor Konversi</v>
      </c>
    </row>
    <row r="93" spans="3:15" ht="20.149999999999999" customHeight="1" x14ac:dyDescent="0.35">
      <c r="C93" s="1">
        <v>1</v>
      </c>
      <c r="D93" s="2" t="str">
        <f>D84</f>
        <v xml:space="preserve">% Nitrogen </v>
      </c>
      <c r="E93" s="30" t="str">
        <f>E84</f>
        <v>0%</v>
      </c>
      <c r="G93" s="6"/>
      <c r="H93" s="22" t="s">
        <v>17</v>
      </c>
      <c r="I93" s="11" t="str">
        <f>E93</f>
        <v>0%</v>
      </c>
      <c r="J93" s="8" t="s">
        <v>107</v>
      </c>
      <c r="K93" s="13" t="str">
        <f>E95</f>
        <v>0</v>
      </c>
    </row>
    <row r="94" spans="3:15" ht="20.149999999999999" customHeight="1" x14ac:dyDescent="0.35">
      <c r="C94" s="1">
        <v>2</v>
      </c>
      <c r="D94" s="2" t="s">
        <v>37</v>
      </c>
      <c r="E94" s="30" t="s">
        <v>4</v>
      </c>
      <c r="G94" s="6"/>
      <c r="H94" s="6" t="s">
        <v>56</v>
      </c>
      <c r="I94" s="13">
        <f>PRODUCT(I93:K93)</f>
        <v>0</v>
      </c>
      <c r="J94" s="8"/>
      <c r="K94" s="13"/>
    </row>
    <row r="95" spans="3:15" ht="20.149999999999999" customHeight="1" x14ac:dyDescent="0.35">
      <c r="C95" s="1">
        <v>3</v>
      </c>
      <c r="D95" s="2" t="s">
        <v>53</v>
      </c>
      <c r="E95" s="1" t="str">
        <f>IFERROR(VLOOKUP(E94,D105:E122,2,FALSE),"0")</f>
        <v>0</v>
      </c>
      <c r="G95" s="6"/>
      <c r="J95" s="14"/>
    </row>
    <row r="96" spans="3:15" ht="20.149999999999999" customHeight="1" x14ac:dyDescent="0.35">
      <c r="C96" s="124" t="s">
        <v>87</v>
      </c>
      <c r="D96" s="125"/>
      <c r="E96" s="126"/>
      <c r="G96" s="6"/>
      <c r="J96" s="14"/>
    </row>
    <row r="97" spans="3:5" ht="20.149999999999999" customHeight="1" x14ac:dyDescent="0.35">
      <c r="C97" s="1">
        <v>1</v>
      </c>
      <c r="D97" s="2" t="s">
        <v>54</v>
      </c>
      <c r="E97" s="1">
        <f>I94</f>
        <v>0</v>
      </c>
    </row>
    <row r="102" spans="3:5" ht="20.149999999999999" customHeight="1" x14ac:dyDescent="0.35">
      <c r="C102" s="119" t="s">
        <v>58</v>
      </c>
      <c r="D102" s="119"/>
      <c r="E102" s="119"/>
    </row>
    <row r="103" spans="3:5" ht="20.149999999999999" customHeight="1" x14ac:dyDescent="0.35">
      <c r="C103" s="13"/>
      <c r="D103" s="13"/>
      <c r="E103" s="13"/>
    </row>
    <row r="104" spans="3:5" ht="20.149999999999999" customHeight="1" x14ac:dyDescent="0.35">
      <c r="C104" s="3" t="s">
        <v>5</v>
      </c>
      <c r="D104" s="47" t="s">
        <v>59</v>
      </c>
      <c r="E104" s="47" t="s">
        <v>53</v>
      </c>
    </row>
    <row r="105" spans="3:5" ht="20.149999999999999" customHeight="1" x14ac:dyDescent="0.35">
      <c r="C105" s="1">
        <v>1</v>
      </c>
      <c r="D105" s="31" t="s">
        <v>60</v>
      </c>
      <c r="E105" s="1">
        <v>6.25</v>
      </c>
    </row>
    <row r="106" spans="3:5" ht="20.149999999999999" customHeight="1" x14ac:dyDescent="0.35">
      <c r="C106" s="1">
        <v>2</v>
      </c>
      <c r="D106" s="31" t="s">
        <v>61</v>
      </c>
      <c r="E106" s="1">
        <v>6.25</v>
      </c>
    </row>
    <row r="107" spans="3:5" ht="20.149999999999999" customHeight="1" x14ac:dyDescent="0.35">
      <c r="C107" s="1">
        <v>3</v>
      </c>
      <c r="D107" s="31" t="s">
        <v>62</v>
      </c>
      <c r="E107" s="1">
        <v>6.25</v>
      </c>
    </row>
    <row r="108" spans="3:5" ht="20.149999999999999" customHeight="1" x14ac:dyDescent="0.35">
      <c r="C108" s="1">
        <v>4</v>
      </c>
      <c r="D108" s="31" t="s">
        <v>63</v>
      </c>
      <c r="E108" s="1">
        <v>6.25</v>
      </c>
    </row>
    <row r="109" spans="3:5" ht="20.149999999999999" customHeight="1" x14ac:dyDescent="0.35">
      <c r="C109" s="1">
        <v>5</v>
      </c>
      <c r="D109" s="31" t="s">
        <v>64</v>
      </c>
      <c r="E109" s="1">
        <v>6.25</v>
      </c>
    </row>
    <row r="110" spans="3:5" ht="20.149999999999999" customHeight="1" x14ac:dyDescent="0.35">
      <c r="C110" s="1">
        <v>6</v>
      </c>
      <c r="D110" s="31" t="s">
        <v>65</v>
      </c>
      <c r="E110" s="1">
        <v>6.25</v>
      </c>
    </row>
    <row r="111" spans="3:5" ht="20.149999999999999" customHeight="1" x14ac:dyDescent="0.35">
      <c r="C111" s="1">
        <v>7</v>
      </c>
      <c r="D111" s="31" t="s">
        <v>66</v>
      </c>
      <c r="E111" s="1">
        <v>6.25</v>
      </c>
    </row>
    <row r="112" spans="3:5" ht="20.149999999999999" customHeight="1" x14ac:dyDescent="0.35">
      <c r="C112" s="1">
        <v>8</v>
      </c>
      <c r="D112" s="31" t="s">
        <v>67</v>
      </c>
      <c r="E112" s="1">
        <v>6.25</v>
      </c>
    </row>
    <row r="113" spans="3:5" ht="20.149999999999999" customHeight="1" x14ac:dyDescent="0.35">
      <c r="C113" s="1">
        <v>9</v>
      </c>
      <c r="D113" s="31" t="s">
        <v>68</v>
      </c>
      <c r="E113" s="1">
        <v>6.25</v>
      </c>
    </row>
    <row r="114" spans="3:5" ht="20.149999999999999" customHeight="1" x14ac:dyDescent="0.35">
      <c r="C114" s="1">
        <v>10</v>
      </c>
      <c r="D114" s="31" t="s">
        <v>69</v>
      </c>
      <c r="E114" s="1">
        <v>5.95</v>
      </c>
    </row>
    <row r="115" spans="3:5" ht="20.149999999999999" customHeight="1" x14ac:dyDescent="0.35">
      <c r="C115" s="1">
        <v>11</v>
      </c>
      <c r="D115" s="31" t="s">
        <v>70</v>
      </c>
      <c r="E115" s="1">
        <v>5.7</v>
      </c>
    </row>
    <row r="116" spans="3:5" ht="20.149999999999999" customHeight="1" x14ac:dyDescent="0.35">
      <c r="C116" s="1">
        <v>12</v>
      </c>
      <c r="D116" s="31" t="s">
        <v>71</v>
      </c>
      <c r="E116" s="1">
        <v>5.7</v>
      </c>
    </row>
    <row r="117" spans="3:5" ht="20.149999999999999" customHeight="1" x14ac:dyDescent="0.35">
      <c r="C117" s="1">
        <v>13</v>
      </c>
      <c r="D117" s="31" t="s">
        <v>72</v>
      </c>
      <c r="E117" s="1">
        <v>5.7</v>
      </c>
    </row>
    <row r="118" spans="3:5" ht="20.149999999999999" customHeight="1" x14ac:dyDescent="0.35">
      <c r="C118" s="1">
        <v>14</v>
      </c>
      <c r="D118" s="31" t="s">
        <v>73</v>
      </c>
      <c r="E118" s="1">
        <v>5.46</v>
      </c>
    </row>
    <row r="119" spans="3:5" ht="20.149999999999999" customHeight="1" x14ac:dyDescent="0.35">
      <c r="C119" s="1">
        <v>15</v>
      </c>
      <c r="D119" s="31" t="s">
        <v>74</v>
      </c>
      <c r="E119" s="1">
        <v>5.75</v>
      </c>
    </row>
    <row r="120" spans="3:5" ht="20.149999999999999" customHeight="1" x14ac:dyDescent="0.35">
      <c r="C120" s="1">
        <v>16</v>
      </c>
      <c r="D120" s="31" t="s">
        <v>75</v>
      </c>
      <c r="E120" s="1">
        <v>5.18</v>
      </c>
    </row>
    <row r="121" spans="3:5" ht="20.149999999999999" customHeight="1" x14ac:dyDescent="0.35">
      <c r="C121" s="1">
        <v>17</v>
      </c>
      <c r="D121" s="31" t="s">
        <v>76</v>
      </c>
      <c r="E121" s="1">
        <v>6.38</v>
      </c>
    </row>
    <row r="122" spans="3:5" ht="20.149999999999999" customHeight="1" x14ac:dyDescent="0.35">
      <c r="C122" s="1">
        <v>18</v>
      </c>
      <c r="D122" s="31" t="s">
        <v>77</v>
      </c>
      <c r="E122" s="1">
        <v>5.55</v>
      </c>
    </row>
    <row r="125" spans="3:5" ht="20.149999999999999" customHeight="1" x14ac:dyDescent="0.35">
      <c r="D125" s="5" t="s">
        <v>84</v>
      </c>
    </row>
    <row r="128" spans="3:5" ht="20.149999999999999" customHeight="1" x14ac:dyDescent="0.35">
      <c r="D128" s="33" t="s">
        <v>157</v>
      </c>
    </row>
  </sheetData>
  <mergeCells count="31">
    <mergeCell ref="C72:O72"/>
    <mergeCell ref="C3:O5"/>
    <mergeCell ref="C12:G12"/>
    <mergeCell ref="F16:N16"/>
    <mergeCell ref="I50:O50"/>
    <mergeCell ref="I53:O53"/>
    <mergeCell ref="H19:J19"/>
    <mergeCell ref="H23:J23"/>
    <mergeCell ref="C8:C9"/>
    <mergeCell ref="D8:D9"/>
    <mergeCell ref="E8:E9"/>
    <mergeCell ref="F8:G8"/>
    <mergeCell ref="H8:H9"/>
    <mergeCell ref="I8:I9"/>
    <mergeCell ref="C21:E21"/>
    <mergeCell ref="C102:E102"/>
    <mergeCell ref="I32:I33"/>
    <mergeCell ref="H32:H33"/>
    <mergeCell ref="E32:E33"/>
    <mergeCell ref="D32:D33"/>
    <mergeCell ref="C32:C33"/>
    <mergeCell ref="F32:G32"/>
    <mergeCell ref="C55:E55"/>
    <mergeCell ref="C67:E67"/>
    <mergeCell ref="C83:E83"/>
    <mergeCell ref="C96:E96"/>
    <mergeCell ref="C34:I34"/>
    <mergeCell ref="C37:G37"/>
    <mergeCell ref="C38:I38"/>
    <mergeCell ref="C41:G41"/>
    <mergeCell ref="C44:O44"/>
  </mergeCells>
  <pageMargins left="0.7" right="0.7" top="0.75" bottom="0.75" header="0.3" footer="0.3"/>
  <pageSetup paperSize="9" scale="27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V104"/>
  <sheetViews>
    <sheetView showGridLines="0" view="pageBreakPreview" topLeftCell="A37" zoomScale="25" zoomScaleNormal="25" zoomScaleSheetLayoutView="25" workbookViewId="0">
      <selection activeCell="A21" sqref="A21"/>
    </sheetView>
  </sheetViews>
  <sheetFormatPr defaultColWidth="9.1796875" defaultRowHeight="20.149999999999999" customHeight="1" x14ac:dyDescent="0.35"/>
  <cols>
    <col min="1" max="2" width="9.1796875" style="5"/>
    <col min="3" max="3" width="4.81640625" style="5" customWidth="1"/>
    <col min="4" max="4" width="28" style="5" customWidth="1"/>
    <col min="5" max="5" width="20.7265625" style="5" customWidth="1"/>
    <col min="6" max="6" width="10.7265625" style="5" customWidth="1"/>
    <col min="7" max="7" width="11.453125" style="5" customWidth="1"/>
    <col min="8" max="8" width="39.7265625" style="5" customWidth="1"/>
    <col min="9" max="9" width="32" style="5" customWidth="1"/>
    <col min="10" max="10" width="3.1796875" style="5" customWidth="1"/>
    <col min="11" max="11" width="28" style="5" customWidth="1"/>
    <col min="12" max="12" width="3.1796875" style="5" customWidth="1"/>
    <col min="13" max="13" width="18.7265625" style="5" customWidth="1"/>
    <col min="14" max="14" width="3.1796875" style="5" customWidth="1"/>
    <col min="15" max="15" width="19.81640625" style="5" customWidth="1"/>
    <col min="16" max="19" width="9.1796875" style="5"/>
    <col min="20" max="20" width="10.453125" style="5" customWidth="1"/>
    <col min="21" max="16384" width="9.1796875" style="5"/>
  </cols>
  <sheetData>
    <row r="2" spans="3:22" ht="20.149999999999999" customHeight="1" thickBot="1" x14ac:dyDescent="0.4"/>
    <row r="3" spans="3:22" ht="20.149999999999999" customHeight="1" x14ac:dyDescent="0.35">
      <c r="C3" s="104" t="s">
        <v>27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/>
    </row>
    <row r="4" spans="3:22" ht="20.149999999999999" customHeight="1" x14ac:dyDescent="0.35"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</row>
    <row r="5" spans="3:22" ht="20.149999999999999" customHeight="1" thickBot="1" x14ac:dyDescent="0.4">
      <c r="C5" s="110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2"/>
    </row>
    <row r="8" spans="3:22" ht="20.149999999999999" customHeight="1" x14ac:dyDescent="0.3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3:22" ht="20.149999999999999" customHeight="1" x14ac:dyDescent="0.35">
      <c r="C9" s="120" t="s">
        <v>5</v>
      </c>
      <c r="D9" s="120" t="s">
        <v>28</v>
      </c>
      <c r="E9" s="120" t="s">
        <v>45</v>
      </c>
      <c r="F9" s="122" t="s">
        <v>29</v>
      </c>
      <c r="G9" s="123"/>
      <c r="H9" s="120" t="s">
        <v>30</v>
      </c>
      <c r="I9" s="120" t="s">
        <v>31</v>
      </c>
      <c r="J9" s="8"/>
      <c r="K9" s="8"/>
      <c r="L9" s="8"/>
      <c r="M9" s="8"/>
      <c r="N9" s="8"/>
      <c r="O9" s="136"/>
      <c r="P9" s="136"/>
      <c r="Q9" s="136"/>
      <c r="R9" s="136"/>
      <c r="S9" s="136"/>
      <c r="T9" s="136"/>
      <c r="U9" s="8"/>
      <c r="V9" s="8"/>
    </row>
    <row r="10" spans="3:22" ht="20.149999999999999" customHeight="1" x14ac:dyDescent="0.35">
      <c r="C10" s="121"/>
      <c r="D10" s="121"/>
      <c r="E10" s="121"/>
      <c r="F10" s="51" t="s">
        <v>33</v>
      </c>
      <c r="G10" s="51" t="s">
        <v>34</v>
      </c>
      <c r="H10" s="121"/>
      <c r="I10" s="121"/>
      <c r="J10" s="8"/>
      <c r="K10" s="8"/>
      <c r="L10" s="8"/>
      <c r="M10" s="25"/>
      <c r="N10" s="8"/>
      <c r="O10" s="8"/>
      <c r="P10" s="8"/>
      <c r="Q10" s="8"/>
      <c r="R10" s="8"/>
      <c r="S10" s="8"/>
      <c r="T10" s="8"/>
      <c r="U10" s="8"/>
      <c r="V10" s="8"/>
    </row>
    <row r="11" spans="3:22" ht="20.149999999999999" customHeight="1" x14ac:dyDescent="0.35">
      <c r="C11" s="127" t="s">
        <v>38</v>
      </c>
      <c r="D11" s="128"/>
      <c r="E11" s="128"/>
      <c r="F11" s="128"/>
      <c r="G11" s="128"/>
      <c r="H11" s="128"/>
      <c r="I11" s="129"/>
      <c r="J11" s="8"/>
      <c r="K11" s="8"/>
      <c r="L11" s="8"/>
      <c r="M11" s="25"/>
      <c r="N11" s="8"/>
      <c r="O11" s="8"/>
      <c r="P11" s="8"/>
      <c r="Q11" s="8"/>
      <c r="R11" s="8"/>
      <c r="S11" s="8"/>
      <c r="T11" s="8"/>
      <c r="U11" s="8"/>
      <c r="V11" s="8"/>
    </row>
    <row r="12" spans="3:22" ht="20.149999999999999" customHeight="1" x14ac:dyDescent="0.35">
      <c r="C12" s="1">
        <v>1</v>
      </c>
      <c r="D12" s="1" t="s">
        <v>103</v>
      </c>
      <c r="E12" s="50">
        <v>0</v>
      </c>
      <c r="F12" s="50">
        <v>0</v>
      </c>
      <c r="G12" s="50">
        <v>0</v>
      </c>
      <c r="H12" s="50">
        <f>G12-F12</f>
        <v>0</v>
      </c>
      <c r="I12" s="1"/>
      <c r="J12" s="8"/>
      <c r="K12" s="8"/>
      <c r="L12" s="8"/>
      <c r="M12" s="8"/>
      <c r="N12" s="8"/>
      <c r="O12" s="22"/>
      <c r="P12" s="8"/>
      <c r="Q12" s="8"/>
      <c r="R12" s="8"/>
      <c r="S12" s="8"/>
      <c r="T12" s="8"/>
      <c r="U12" s="8"/>
      <c r="V12" s="8"/>
    </row>
    <row r="13" spans="3:22" ht="20.149999999999999" customHeight="1" x14ac:dyDescent="0.35">
      <c r="C13" s="1">
        <v>2</v>
      </c>
      <c r="D13" s="1" t="s">
        <v>104</v>
      </c>
      <c r="E13" s="50">
        <v>0</v>
      </c>
      <c r="F13" s="50">
        <v>0</v>
      </c>
      <c r="G13" s="50">
        <v>0</v>
      </c>
      <c r="H13" s="50">
        <f>G13-F13</f>
        <v>0</v>
      </c>
      <c r="I13" s="1"/>
      <c r="J13" s="8"/>
      <c r="K13" s="8"/>
      <c r="L13" s="8"/>
      <c r="M13" s="8"/>
      <c r="N13" s="8"/>
      <c r="P13" s="108"/>
      <c r="Q13" s="108"/>
      <c r="R13" s="108"/>
      <c r="S13" s="108"/>
      <c r="T13" s="108"/>
      <c r="U13" s="108"/>
      <c r="V13" s="108"/>
    </row>
    <row r="14" spans="3:22" ht="20.149999999999999" customHeight="1" x14ac:dyDescent="0.35">
      <c r="C14" s="130" t="s">
        <v>44</v>
      </c>
      <c r="D14" s="131"/>
      <c r="E14" s="131"/>
      <c r="F14" s="131"/>
      <c r="G14" s="132"/>
      <c r="H14" s="21">
        <f>AVERAGE(H12:H13)</f>
        <v>0</v>
      </c>
      <c r="I14" s="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3:22" ht="20.149999999999999" customHeight="1" x14ac:dyDescent="0.35">
      <c r="C15" s="127" t="s">
        <v>37</v>
      </c>
      <c r="D15" s="128"/>
      <c r="E15" s="128"/>
      <c r="F15" s="128"/>
      <c r="G15" s="128"/>
      <c r="H15" s="128"/>
      <c r="I15" s="12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3:22" ht="20.149999999999999" customHeight="1" x14ac:dyDescent="0.35">
      <c r="C16" s="1">
        <v>1</v>
      </c>
      <c r="D16" s="1" t="s">
        <v>103</v>
      </c>
      <c r="E16" s="50">
        <v>0</v>
      </c>
      <c r="F16" s="50">
        <v>0</v>
      </c>
      <c r="G16" s="50">
        <v>0</v>
      </c>
      <c r="H16" s="50">
        <f>G16-F16</f>
        <v>0</v>
      </c>
      <c r="I16" s="1"/>
      <c r="J16" s="8"/>
      <c r="K16" s="8"/>
      <c r="L16" s="8"/>
      <c r="M16" s="8"/>
      <c r="N16" s="8"/>
      <c r="O16" s="22"/>
      <c r="P16" s="8"/>
      <c r="Q16" s="8"/>
      <c r="R16" s="8"/>
      <c r="S16" s="8"/>
      <c r="T16" s="8"/>
      <c r="U16" s="8"/>
      <c r="V16" s="26"/>
    </row>
    <row r="17" spans="3:22" ht="20.149999999999999" customHeight="1" x14ac:dyDescent="0.35">
      <c r="C17" s="1">
        <v>2</v>
      </c>
      <c r="D17" s="1" t="s">
        <v>104</v>
      </c>
      <c r="E17" s="50">
        <v>0</v>
      </c>
      <c r="F17" s="50">
        <v>0</v>
      </c>
      <c r="G17" s="50">
        <v>0</v>
      </c>
      <c r="H17" s="50">
        <f>G17-F17</f>
        <v>0</v>
      </c>
      <c r="I17" s="1"/>
      <c r="J17" s="8"/>
      <c r="K17" s="8"/>
      <c r="L17" s="8"/>
      <c r="M17" s="12"/>
      <c r="N17" s="8"/>
      <c r="P17" s="108"/>
      <c r="Q17" s="108"/>
      <c r="R17" s="108"/>
      <c r="S17" s="108"/>
      <c r="T17" s="108"/>
      <c r="U17" s="108"/>
      <c r="V17" s="108"/>
    </row>
    <row r="18" spans="3:22" ht="20.149999999999999" customHeight="1" x14ac:dyDescent="0.35">
      <c r="C18" s="130" t="s">
        <v>39</v>
      </c>
      <c r="D18" s="131"/>
      <c r="E18" s="131"/>
      <c r="F18" s="131"/>
      <c r="G18" s="132"/>
      <c r="H18" s="21">
        <f>AVERAGE(H12:H13)</f>
        <v>0</v>
      </c>
      <c r="I18" s="1"/>
      <c r="J18" s="8"/>
      <c r="K18" s="8"/>
      <c r="L18" s="8"/>
      <c r="M18" s="12"/>
      <c r="N18" s="8"/>
      <c r="P18" s="8"/>
      <c r="Q18" s="8"/>
      <c r="R18" s="8"/>
      <c r="S18" s="8"/>
      <c r="T18" s="8"/>
      <c r="U18" s="8"/>
      <c r="V18" s="8"/>
    </row>
    <row r="19" spans="3:22" ht="20.149999999999999" customHeight="1" x14ac:dyDescent="0.35">
      <c r="C19" s="8"/>
      <c r="D19" s="8"/>
      <c r="E19" s="8"/>
      <c r="F19" s="8"/>
      <c r="G19" s="8"/>
      <c r="H19" s="8"/>
      <c r="I19" s="8"/>
      <c r="J19" s="8"/>
      <c r="K19" s="8"/>
      <c r="L19" s="8"/>
      <c r="M19" s="12"/>
      <c r="N19" s="8"/>
      <c r="P19" s="8"/>
      <c r="Q19" s="8"/>
      <c r="R19" s="8"/>
      <c r="S19" s="8"/>
      <c r="T19" s="8"/>
      <c r="U19" s="8"/>
      <c r="V19" s="8"/>
    </row>
    <row r="20" spans="3:22" ht="20.149999999999999" customHeight="1" x14ac:dyDescent="0.3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3:22" ht="20.149999999999999" customHeight="1" x14ac:dyDescent="0.35">
      <c r="C21" s="108" t="s">
        <v>40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8"/>
      <c r="Q21" s="8"/>
      <c r="R21" s="8"/>
      <c r="S21" s="8"/>
      <c r="T21" s="8"/>
      <c r="U21" s="8"/>
      <c r="V21" s="8"/>
    </row>
    <row r="22" spans="3:22" ht="20.149999999999999" customHeight="1" x14ac:dyDescent="0.35">
      <c r="C22" s="8"/>
      <c r="D22" s="8"/>
      <c r="E22" s="8"/>
      <c r="F22" s="8"/>
      <c r="G22" s="8"/>
      <c r="H22" s="8"/>
      <c r="I22" s="8" t="s">
        <v>4</v>
      </c>
      <c r="J22" s="8"/>
      <c r="K22" s="8"/>
      <c r="L22" s="8"/>
      <c r="M22" s="8"/>
      <c r="N22" s="8"/>
      <c r="O22" s="6" t="s">
        <v>4</v>
      </c>
      <c r="P22" s="8"/>
      <c r="Q22" s="8"/>
      <c r="R22" s="8"/>
      <c r="S22" s="8"/>
      <c r="T22" s="8"/>
      <c r="U22" s="8"/>
      <c r="V22" s="8"/>
    </row>
    <row r="23" spans="3:22" ht="20.149999999999999" customHeight="1" x14ac:dyDescent="0.3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8"/>
      <c r="Q23" s="8"/>
      <c r="R23" s="8"/>
      <c r="S23" s="8"/>
      <c r="T23" s="8"/>
      <c r="U23" s="8"/>
      <c r="V23" s="8"/>
    </row>
    <row r="24" spans="3:22" ht="20.149999999999999" customHeight="1" x14ac:dyDescent="0.35">
      <c r="C24" s="51" t="s">
        <v>5</v>
      </c>
      <c r="D24" s="51" t="s">
        <v>32</v>
      </c>
      <c r="E24" s="51" t="s">
        <v>86</v>
      </c>
      <c r="G24" s="8"/>
      <c r="H24" s="136" t="s">
        <v>57</v>
      </c>
      <c r="I24" s="136"/>
      <c r="J24" s="136"/>
      <c r="K24" s="136"/>
      <c r="L24" s="136"/>
      <c r="M24" s="136"/>
      <c r="N24" s="136"/>
      <c r="O24" s="136"/>
      <c r="P24" s="8"/>
      <c r="Q24" s="8" t="s">
        <v>4</v>
      </c>
      <c r="R24" s="8"/>
      <c r="S24" s="8"/>
      <c r="T24" s="8"/>
      <c r="U24" s="8"/>
      <c r="V24" s="8"/>
    </row>
    <row r="25" spans="3:22" ht="20.149999999999999" customHeight="1" x14ac:dyDescent="0.35">
      <c r="C25" s="1">
        <v>1</v>
      </c>
      <c r="D25" s="2" t="s">
        <v>130</v>
      </c>
      <c r="E25" s="21">
        <v>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3:22" ht="20.149999999999999" customHeight="1" x14ac:dyDescent="0.35">
      <c r="C26" s="1">
        <v>2</v>
      </c>
      <c r="D26" s="2" t="s">
        <v>131</v>
      </c>
      <c r="E26" s="21">
        <v>0</v>
      </c>
      <c r="G26" s="8"/>
      <c r="H26" s="6" t="s">
        <v>48</v>
      </c>
      <c r="I26" s="7" t="s">
        <v>46</v>
      </c>
      <c r="J26" s="7" t="s">
        <v>107</v>
      </c>
      <c r="K26" s="7" t="str">
        <f>D29</f>
        <v>Konsentrasi Penitar (N, M)</v>
      </c>
      <c r="L26" s="7" t="s">
        <v>107</v>
      </c>
      <c r="M26" s="7" t="str">
        <f>D30</f>
        <v>Ketetapan Protein</v>
      </c>
      <c r="N26" s="7" t="s">
        <v>107</v>
      </c>
      <c r="O26" s="7" t="str">
        <f>D31</f>
        <v>Faktor Pengenceran</v>
      </c>
      <c r="P26" s="8"/>
      <c r="Q26" s="8"/>
      <c r="R26" s="8"/>
      <c r="S26" s="8"/>
      <c r="T26" s="8"/>
      <c r="U26" s="8"/>
      <c r="V26" s="8"/>
    </row>
    <row r="27" spans="3:22" ht="20.149999999999999" customHeight="1" x14ac:dyDescent="0.35">
      <c r="C27" s="1">
        <v>3</v>
      </c>
      <c r="D27" s="2" t="s">
        <v>43</v>
      </c>
      <c r="E27" s="4">
        <v>1002.5</v>
      </c>
      <c r="G27" s="8"/>
      <c r="H27" s="6"/>
      <c r="I27" s="117" t="str">
        <f>D27</f>
        <v>Massa Sampel (mg)</v>
      </c>
      <c r="J27" s="117"/>
      <c r="K27" s="117"/>
      <c r="L27" s="117"/>
      <c r="M27" s="117"/>
      <c r="N27" s="117"/>
      <c r="O27" s="117"/>
      <c r="P27" s="8"/>
      <c r="Q27" s="8"/>
      <c r="R27" s="8"/>
      <c r="S27" s="8"/>
      <c r="T27" s="8"/>
      <c r="U27" s="8"/>
      <c r="V27" s="8"/>
    </row>
    <row r="28" spans="3:22" ht="20.149999999999999" customHeight="1" x14ac:dyDescent="0.35">
      <c r="C28" s="1">
        <v>5</v>
      </c>
      <c r="D28" s="2" t="s">
        <v>41</v>
      </c>
      <c r="E28" s="1" t="s">
        <v>42</v>
      </c>
      <c r="G28" s="8"/>
      <c r="P28" s="12"/>
      <c r="Q28" s="8"/>
      <c r="R28" s="8"/>
      <c r="S28" s="8"/>
      <c r="T28" s="8"/>
      <c r="U28" s="8"/>
      <c r="V28" s="8"/>
    </row>
    <row r="29" spans="3:22" ht="20.149999999999999" customHeight="1" x14ac:dyDescent="0.35">
      <c r="C29" s="1">
        <v>6</v>
      </c>
      <c r="D29" s="2" t="s">
        <v>35</v>
      </c>
      <c r="E29" s="1">
        <v>0.10249999999999999</v>
      </c>
      <c r="G29" s="8"/>
      <c r="H29" s="6" t="s">
        <v>17</v>
      </c>
      <c r="I29" s="27">
        <v>20</v>
      </c>
      <c r="J29" s="7" t="s">
        <v>107</v>
      </c>
      <c r="K29" s="7">
        <v>0.10249999999999999</v>
      </c>
      <c r="L29" s="7" t="s">
        <v>107</v>
      </c>
      <c r="M29" s="7">
        <f>E30</f>
        <v>14.007</v>
      </c>
      <c r="N29" s="7" t="s">
        <v>107</v>
      </c>
      <c r="O29" s="23">
        <f>E31</f>
        <v>1</v>
      </c>
    </row>
    <row r="30" spans="3:22" ht="20.149999999999999" customHeight="1" x14ac:dyDescent="0.35">
      <c r="C30" s="1">
        <v>7</v>
      </c>
      <c r="D30" s="2" t="s">
        <v>47</v>
      </c>
      <c r="E30" s="1">
        <v>14.007</v>
      </c>
      <c r="G30" s="8"/>
      <c r="H30" s="6" t="s">
        <v>4</v>
      </c>
      <c r="I30" s="114">
        <v>1002.5</v>
      </c>
      <c r="J30" s="114"/>
      <c r="K30" s="114"/>
      <c r="L30" s="114"/>
      <c r="M30" s="114"/>
      <c r="N30" s="114"/>
      <c r="O30" s="114"/>
    </row>
    <row r="31" spans="3:22" ht="20.149999999999999" customHeight="1" x14ac:dyDescent="0.35">
      <c r="C31" s="1">
        <v>8</v>
      </c>
      <c r="D31" s="2" t="s">
        <v>36</v>
      </c>
      <c r="E31" s="1">
        <v>1</v>
      </c>
      <c r="G31" s="8"/>
      <c r="H31" s="6"/>
    </row>
    <row r="32" spans="3:22" ht="20.149999999999999" customHeight="1" x14ac:dyDescent="0.35">
      <c r="C32" s="124" t="s">
        <v>87</v>
      </c>
      <c r="D32" s="125"/>
      <c r="E32" s="126"/>
      <c r="G32" s="8"/>
      <c r="H32" s="6" t="s">
        <v>17</v>
      </c>
      <c r="I32" s="7">
        <f>PRODUCT(I29:O29)</f>
        <v>28.714349999999996</v>
      </c>
      <c r="J32" s="8"/>
      <c r="K32" s="8"/>
      <c r="L32" s="8"/>
      <c r="M32" s="8"/>
      <c r="N32" s="8"/>
      <c r="O32" s="8"/>
    </row>
    <row r="33" spans="3:20" ht="20.149999999999999" customHeight="1" x14ac:dyDescent="0.35">
      <c r="C33" s="1">
        <v>1</v>
      </c>
      <c r="D33" s="2" t="s">
        <v>50</v>
      </c>
      <c r="E33" s="90">
        <f>I36</f>
        <v>2.8642743142144635E-2</v>
      </c>
      <c r="G33" s="8"/>
      <c r="H33" s="6"/>
      <c r="I33" s="12">
        <f>I30</f>
        <v>1002.5</v>
      </c>
      <c r="J33" s="8"/>
      <c r="K33" s="8"/>
      <c r="L33" s="8"/>
      <c r="M33" s="8"/>
      <c r="N33" s="8"/>
      <c r="O33" s="8"/>
    </row>
    <row r="34" spans="3:20" ht="20.149999999999999" customHeight="1" x14ac:dyDescent="0.35">
      <c r="G34" s="8"/>
      <c r="H34" s="6"/>
      <c r="J34" s="8"/>
      <c r="K34" s="8"/>
      <c r="L34" s="8"/>
      <c r="M34" s="8"/>
      <c r="N34" s="8"/>
      <c r="O34" s="8"/>
    </row>
    <row r="35" spans="3:20" ht="20.149999999999999" customHeight="1" x14ac:dyDescent="0.35">
      <c r="C35" s="8"/>
      <c r="D35" s="8"/>
      <c r="E35" s="8"/>
      <c r="G35" s="8"/>
      <c r="H35" s="6"/>
      <c r="I35" s="8"/>
      <c r="J35" s="8" t="s">
        <v>4</v>
      </c>
      <c r="K35" s="8"/>
      <c r="L35" s="8"/>
      <c r="M35" s="8"/>
      <c r="N35" s="8"/>
      <c r="O35" s="8"/>
    </row>
    <row r="36" spans="3:20" ht="20.149999999999999" customHeight="1" x14ac:dyDescent="0.35">
      <c r="C36" s="8"/>
      <c r="D36" s="8"/>
      <c r="E36" s="8"/>
      <c r="G36" s="8"/>
      <c r="H36" s="22" t="s">
        <v>49</v>
      </c>
      <c r="I36" s="89">
        <f>IFERROR(I32/I33,"0%")</f>
        <v>2.8642743142144635E-2</v>
      </c>
      <c r="J36" s="8"/>
      <c r="K36" s="8"/>
      <c r="L36" s="8"/>
      <c r="M36" s="8"/>
      <c r="N36" s="8"/>
      <c r="O36" s="8"/>
      <c r="S36" s="5">
        <v>100</v>
      </c>
      <c r="T36" s="28" t="s">
        <v>4</v>
      </c>
    </row>
    <row r="37" spans="3:20" ht="20.149999999999999" customHeight="1" x14ac:dyDescent="0.35">
      <c r="C37" s="14"/>
      <c r="D37" s="14"/>
      <c r="E37" s="14"/>
      <c r="G37" s="8" t="s">
        <v>4</v>
      </c>
    </row>
    <row r="38" spans="3:20" ht="20.149999999999999" customHeight="1" x14ac:dyDescent="0.35">
      <c r="G38" s="6"/>
      <c r="H38" s="136" t="s">
        <v>55</v>
      </c>
      <c r="I38" s="136"/>
      <c r="J38" s="136"/>
      <c r="K38" s="136"/>
      <c r="L38" s="136"/>
      <c r="M38" s="136"/>
      <c r="N38" s="136"/>
      <c r="O38" s="136"/>
    </row>
    <row r="39" spans="3:20" ht="20.149999999999999" customHeight="1" x14ac:dyDescent="0.35">
      <c r="G39" s="6"/>
      <c r="H39" s="12"/>
      <c r="I39" s="14"/>
      <c r="J39" s="14"/>
    </row>
    <row r="40" spans="3:20" ht="20.149999999999999" customHeight="1" x14ac:dyDescent="0.35">
      <c r="C40" s="51" t="s">
        <v>5</v>
      </c>
      <c r="D40" s="51" t="s">
        <v>32</v>
      </c>
      <c r="E40" s="51" t="s">
        <v>86</v>
      </c>
      <c r="G40" s="6"/>
      <c r="H40" s="6" t="s">
        <v>56</v>
      </c>
      <c r="I40" s="8" t="str">
        <f>D41</f>
        <v xml:space="preserve">% Nitrogen </v>
      </c>
      <c r="J40" s="8" t="s">
        <v>107</v>
      </c>
      <c r="K40" s="13" t="str">
        <f>D43</f>
        <v>Faktor Konversi</v>
      </c>
    </row>
    <row r="41" spans="3:20" ht="20.149999999999999" customHeight="1" x14ac:dyDescent="0.35">
      <c r="C41" s="1">
        <v>1</v>
      </c>
      <c r="D41" s="2" t="str">
        <f>D33</f>
        <v xml:space="preserve">% Nitrogen </v>
      </c>
      <c r="E41" s="90">
        <f>I36</f>
        <v>2.8642743142144635E-2</v>
      </c>
      <c r="G41" s="6"/>
      <c r="H41" s="22" t="s">
        <v>17</v>
      </c>
      <c r="I41" s="91">
        <f>E41</f>
        <v>2.8642743142144635E-2</v>
      </c>
      <c r="J41" s="8" t="s">
        <v>107</v>
      </c>
      <c r="K41" s="13">
        <f>E43</f>
        <v>5.75</v>
      </c>
    </row>
    <row r="42" spans="3:20" ht="20.149999999999999" customHeight="1" x14ac:dyDescent="0.35">
      <c r="C42" s="1">
        <v>2</v>
      </c>
      <c r="D42" s="2" t="s">
        <v>37</v>
      </c>
      <c r="E42" s="30" t="s">
        <v>159</v>
      </c>
      <c r="G42" s="6"/>
      <c r="H42" s="22"/>
      <c r="I42" s="11"/>
      <c r="J42" s="8"/>
      <c r="K42" s="13"/>
    </row>
    <row r="43" spans="3:20" ht="20.149999999999999" customHeight="1" x14ac:dyDescent="0.35">
      <c r="C43" s="1">
        <v>3</v>
      </c>
      <c r="D43" s="2" t="s">
        <v>53</v>
      </c>
      <c r="E43" s="1">
        <f>IFERROR(VLOOKUP(E42,D82:E100,2,FALSE),"0")</f>
        <v>5.75</v>
      </c>
      <c r="G43" s="6"/>
      <c r="H43" s="6" t="s">
        <v>56</v>
      </c>
      <c r="I43" s="93">
        <f>PRODUCT(I41:K41)</f>
        <v>0.16469577306733166</v>
      </c>
      <c r="J43" s="14"/>
    </row>
    <row r="44" spans="3:20" ht="20.149999999999999" customHeight="1" x14ac:dyDescent="0.35">
      <c r="C44" s="124" t="s">
        <v>87</v>
      </c>
      <c r="D44" s="125"/>
      <c r="E44" s="126"/>
      <c r="G44" s="6"/>
      <c r="H44" s="6"/>
      <c r="I44" s="28"/>
      <c r="J44" s="14"/>
    </row>
    <row r="45" spans="3:20" ht="20.149999999999999" customHeight="1" x14ac:dyDescent="0.35">
      <c r="C45" s="1">
        <v>1</v>
      </c>
      <c r="D45" s="2" t="s">
        <v>54</v>
      </c>
      <c r="E45" s="92">
        <f>I43</f>
        <v>0.16469577306733166</v>
      </c>
      <c r="G45" s="6"/>
      <c r="H45" s="14"/>
      <c r="I45" s="14"/>
      <c r="J45" s="14"/>
    </row>
    <row r="47" spans="3:20" ht="20.149999999999999" customHeight="1" x14ac:dyDescent="0.35">
      <c r="C47" s="8"/>
      <c r="D47" s="8"/>
      <c r="E47" s="8"/>
      <c r="G47" s="6"/>
      <c r="H47" s="14"/>
      <c r="I47" s="14"/>
      <c r="J47" s="14"/>
    </row>
    <row r="48" spans="3:20" ht="20.149999999999999" customHeight="1" x14ac:dyDescent="0.35"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</row>
    <row r="49" spans="3:15" ht="20.149999999999999" customHeight="1" x14ac:dyDescent="0.35">
      <c r="C49" s="108" t="s">
        <v>51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</row>
    <row r="50" spans="3:15" ht="20.149999999999999" customHeight="1" x14ac:dyDescent="0.35">
      <c r="C50" s="8"/>
      <c r="D50" s="8"/>
      <c r="E50" s="8"/>
      <c r="F50" s="8"/>
      <c r="G50" s="8"/>
      <c r="H50" s="8"/>
      <c r="I50" s="8" t="s">
        <v>4</v>
      </c>
      <c r="J50" s="8"/>
      <c r="K50" s="8"/>
      <c r="L50" s="8"/>
      <c r="M50" s="8"/>
      <c r="N50" s="8"/>
      <c r="O50" s="6" t="s">
        <v>4</v>
      </c>
    </row>
    <row r="51" spans="3:15" ht="20.149999999999999" customHeight="1" x14ac:dyDescent="0.3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6"/>
    </row>
    <row r="52" spans="3:15" ht="20.149999999999999" customHeight="1" x14ac:dyDescent="0.35">
      <c r="C52" s="51" t="s">
        <v>5</v>
      </c>
      <c r="D52" s="51" t="s">
        <v>32</v>
      </c>
      <c r="E52" s="51" t="s">
        <v>86</v>
      </c>
      <c r="G52" s="8"/>
      <c r="H52" s="136" t="s">
        <v>57</v>
      </c>
      <c r="I52" s="136"/>
      <c r="J52" s="136"/>
      <c r="K52" s="136"/>
      <c r="L52" s="136"/>
      <c r="M52" s="136"/>
      <c r="N52" s="136"/>
      <c r="O52" s="136"/>
    </row>
    <row r="53" spans="3:15" ht="20.149999999999999" customHeight="1" x14ac:dyDescent="0.35">
      <c r="C53" s="1">
        <v>1</v>
      </c>
      <c r="D53" s="2" t="s">
        <v>130</v>
      </c>
      <c r="E53" s="21">
        <f>$H$14</f>
        <v>0</v>
      </c>
      <c r="G53" s="8"/>
      <c r="H53" s="8"/>
      <c r="I53" s="8"/>
      <c r="J53" s="8"/>
      <c r="K53" s="8"/>
      <c r="L53" s="8"/>
      <c r="M53" s="8"/>
      <c r="N53" s="8"/>
      <c r="O53" s="8"/>
    </row>
    <row r="54" spans="3:15" ht="20.149999999999999" customHeight="1" x14ac:dyDescent="0.35">
      <c r="C54" s="1">
        <v>2</v>
      </c>
      <c r="D54" s="2" t="s">
        <v>131</v>
      </c>
      <c r="E54" s="21">
        <f>$H$18</f>
        <v>0</v>
      </c>
      <c r="G54" s="8"/>
      <c r="H54" s="6" t="s">
        <v>48</v>
      </c>
      <c r="I54" s="7" t="s">
        <v>46</v>
      </c>
      <c r="J54" s="7" t="s">
        <v>107</v>
      </c>
      <c r="K54" s="7" t="str">
        <f>D57</f>
        <v>Konsentrasi Penitar (N, M)</v>
      </c>
      <c r="L54" s="7" t="s">
        <v>107</v>
      </c>
      <c r="M54" s="7" t="str">
        <f>D58</f>
        <v>Ketetapan Protein</v>
      </c>
      <c r="N54" s="7" t="s">
        <v>107</v>
      </c>
      <c r="O54" s="7" t="str">
        <f>D59</f>
        <v>Faktor Pengenceran</v>
      </c>
    </row>
    <row r="55" spans="3:15" ht="20.149999999999999" customHeight="1" x14ac:dyDescent="0.35">
      <c r="C55" s="1">
        <v>3</v>
      </c>
      <c r="D55" s="2" t="s">
        <v>43</v>
      </c>
      <c r="E55" s="21">
        <v>0</v>
      </c>
      <c r="G55" s="8"/>
      <c r="H55" s="6"/>
      <c r="I55" s="115" t="str">
        <f>D55</f>
        <v>Massa Sampel (mg)</v>
      </c>
      <c r="J55" s="115"/>
      <c r="K55" s="115"/>
      <c r="L55" s="115"/>
      <c r="M55" s="115"/>
      <c r="N55" s="115"/>
      <c r="O55" s="115"/>
    </row>
    <row r="56" spans="3:15" ht="20.149999999999999" customHeight="1" x14ac:dyDescent="0.35">
      <c r="C56" s="1">
        <v>5</v>
      </c>
      <c r="D56" s="2" t="s">
        <v>41</v>
      </c>
      <c r="E56" s="1" t="s">
        <v>52</v>
      </c>
      <c r="G56" s="8"/>
    </row>
    <row r="57" spans="3:15" ht="20.149999999999999" customHeight="1" x14ac:dyDescent="0.35">
      <c r="C57" s="1">
        <v>6</v>
      </c>
      <c r="D57" s="2" t="s">
        <v>35</v>
      </c>
      <c r="E57" s="1">
        <v>0</v>
      </c>
      <c r="G57" s="8"/>
      <c r="H57" s="6"/>
      <c r="I57" s="27">
        <f>E53-E54</f>
        <v>0</v>
      </c>
      <c r="J57" s="7" t="s">
        <v>107</v>
      </c>
      <c r="K57" s="7">
        <f>E57</f>
        <v>0</v>
      </c>
      <c r="L57" s="7" t="s">
        <v>107</v>
      </c>
      <c r="M57" s="7">
        <f>E58</f>
        <v>14.007</v>
      </c>
      <c r="N57" s="7" t="s">
        <v>107</v>
      </c>
      <c r="O57" s="23">
        <f>E59</f>
        <v>0</v>
      </c>
    </row>
    <row r="58" spans="3:15" ht="20.149999999999999" customHeight="1" x14ac:dyDescent="0.35">
      <c r="C58" s="1">
        <v>7</v>
      </c>
      <c r="D58" s="2" t="s">
        <v>47</v>
      </c>
      <c r="E58" s="1">
        <v>14.007</v>
      </c>
      <c r="G58" s="8"/>
      <c r="H58" s="6" t="s">
        <v>17</v>
      </c>
      <c r="I58" s="134">
        <f>E55</f>
        <v>0</v>
      </c>
      <c r="J58" s="134"/>
      <c r="K58" s="134"/>
      <c r="L58" s="134"/>
      <c r="M58" s="134"/>
      <c r="N58" s="134"/>
      <c r="O58" s="134"/>
    </row>
    <row r="59" spans="3:15" ht="20.149999999999999" customHeight="1" x14ac:dyDescent="0.35">
      <c r="C59" s="1">
        <v>8</v>
      </c>
      <c r="D59" s="2" t="s">
        <v>36</v>
      </c>
      <c r="E59" s="1">
        <v>0</v>
      </c>
      <c r="G59" s="8"/>
      <c r="H59" s="6"/>
    </row>
    <row r="60" spans="3:15" ht="20.149999999999999" customHeight="1" x14ac:dyDescent="0.35">
      <c r="C60" s="124" t="s">
        <v>87</v>
      </c>
      <c r="D60" s="125"/>
      <c r="E60" s="126"/>
      <c r="G60" s="8"/>
      <c r="H60" s="6"/>
    </row>
    <row r="61" spans="3:15" ht="20.149999999999999" customHeight="1" x14ac:dyDescent="0.35">
      <c r="C61" s="1">
        <v>1</v>
      </c>
      <c r="D61" s="2" t="s">
        <v>50</v>
      </c>
      <c r="E61" s="30" t="str">
        <f>I64</f>
        <v>0%</v>
      </c>
      <c r="G61" s="8"/>
      <c r="H61" s="6" t="s">
        <v>17</v>
      </c>
      <c r="I61" s="7">
        <f>PRODUCT(I57:O57)</f>
        <v>0</v>
      </c>
      <c r="J61" s="8"/>
      <c r="K61" s="8"/>
      <c r="L61" s="8"/>
      <c r="M61" s="8"/>
      <c r="N61" s="8"/>
      <c r="O61" s="8"/>
    </row>
    <row r="62" spans="3:15" ht="20.149999999999999" customHeight="1" x14ac:dyDescent="0.35">
      <c r="G62" s="8"/>
      <c r="H62" s="6"/>
      <c r="I62" s="25">
        <f>I58</f>
        <v>0</v>
      </c>
      <c r="J62" s="8"/>
      <c r="K62" s="8"/>
      <c r="L62" s="8"/>
      <c r="M62" s="8"/>
      <c r="N62" s="8"/>
      <c r="O62" s="8"/>
    </row>
    <row r="63" spans="3:15" ht="20.149999999999999" customHeight="1" x14ac:dyDescent="0.35">
      <c r="C63" s="8"/>
      <c r="D63" s="8"/>
      <c r="E63" s="8"/>
      <c r="G63" s="8"/>
      <c r="H63" s="6"/>
      <c r="I63" s="8"/>
      <c r="J63" s="8" t="s">
        <v>4</v>
      </c>
      <c r="K63" s="8"/>
      <c r="L63" s="8"/>
      <c r="M63" s="8"/>
      <c r="N63" s="8"/>
      <c r="O63" s="8"/>
    </row>
    <row r="64" spans="3:15" ht="20.149999999999999" customHeight="1" x14ac:dyDescent="0.35">
      <c r="C64" s="8"/>
      <c r="D64" s="8"/>
      <c r="E64" s="8"/>
      <c r="G64" s="8"/>
      <c r="H64" s="22" t="s">
        <v>49</v>
      </c>
      <c r="I64" s="29" t="str">
        <f>IFERROR(I61/I62,"0%")</f>
        <v>0%</v>
      </c>
      <c r="J64" s="8"/>
      <c r="K64" s="8"/>
      <c r="L64" s="8"/>
      <c r="M64" s="8"/>
      <c r="N64" s="8"/>
      <c r="O64" s="8"/>
    </row>
    <row r="65" spans="3:15" ht="20.149999999999999" customHeight="1" x14ac:dyDescent="0.35">
      <c r="C65" s="14"/>
      <c r="D65" s="14"/>
      <c r="E65" s="14"/>
      <c r="G65" s="8" t="s">
        <v>4</v>
      </c>
    </row>
    <row r="67" spans="3:15" ht="20.149999999999999" customHeight="1" x14ac:dyDescent="0.35">
      <c r="G67" s="6"/>
      <c r="H67" s="136" t="s">
        <v>55</v>
      </c>
      <c r="I67" s="136"/>
      <c r="J67" s="136"/>
      <c r="K67" s="136"/>
      <c r="L67" s="136"/>
      <c r="M67" s="136"/>
      <c r="N67" s="136"/>
      <c r="O67" s="136"/>
    </row>
    <row r="68" spans="3:15" ht="20.149999999999999" customHeight="1" x14ac:dyDescent="0.35">
      <c r="G68" s="6"/>
      <c r="H68" s="12"/>
      <c r="I68" s="14"/>
      <c r="J68" s="14"/>
    </row>
    <row r="69" spans="3:15" ht="20.149999999999999" customHeight="1" x14ac:dyDescent="0.35">
      <c r="C69" s="51" t="s">
        <v>5</v>
      </c>
      <c r="D69" s="51" t="s">
        <v>32</v>
      </c>
      <c r="E69" s="51" t="s">
        <v>86</v>
      </c>
      <c r="G69" s="6"/>
      <c r="H69" s="6" t="s">
        <v>56</v>
      </c>
      <c r="I69" s="8" t="str">
        <f>D70</f>
        <v xml:space="preserve">% Nitrogen </v>
      </c>
      <c r="J69" s="8" t="s">
        <v>107</v>
      </c>
      <c r="K69" s="13" t="str">
        <f>D72</f>
        <v>Faktor Konversi</v>
      </c>
    </row>
    <row r="70" spans="3:15" ht="20.149999999999999" customHeight="1" x14ac:dyDescent="0.35">
      <c r="C70" s="1">
        <v>1</v>
      </c>
      <c r="D70" s="2" t="str">
        <f>D61</f>
        <v xml:space="preserve">% Nitrogen </v>
      </c>
      <c r="E70" s="30" t="str">
        <f>E61</f>
        <v>0%</v>
      </c>
      <c r="G70" s="6"/>
      <c r="H70" s="22" t="s">
        <v>17</v>
      </c>
      <c r="I70" s="11" t="str">
        <f>E70</f>
        <v>0%</v>
      </c>
      <c r="J70" s="8" t="s">
        <v>107</v>
      </c>
      <c r="K70" s="13" t="str">
        <f>E72</f>
        <v>0</v>
      </c>
    </row>
    <row r="71" spans="3:15" ht="20.149999999999999" customHeight="1" x14ac:dyDescent="0.35">
      <c r="C71" s="1">
        <v>2</v>
      </c>
      <c r="D71" s="2" t="s">
        <v>37</v>
      </c>
      <c r="E71" s="30" t="s">
        <v>4</v>
      </c>
      <c r="G71" s="6"/>
      <c r="H71" s="6" t="s">
        <v>56</v>
      </c>
      <c r="I71" s="13">
        <f>PRODUCT(I70:K70)</f>
        <v>0</v>
      </c>
      <c r="J71" s="8"/>
      <c r="K71" s="13"/>
    </row>
    <row r="72" spans="3:15" ht="20.149999999999999" customHeight="1" x14ac:dyDescent="0.35">
      <c r="C72" s="1">
        <v>3</v>
      </c>
      <c r="D72" s="2" t="s">
        <v>53</v>
      </c>
      <c r="E72" s="1" t="str">
        <f>IFERROR(VLOOKUP(E71,D82:E100,2,FALSE),"0")</f>
        <v>0</v>
      </c>
      <c r="G72" s="6"/>
      <c r="J72" s="14"/>
    </row>
    <row r="73" spans="3:15" ht="20.149999999999999" customHeight="1" x14ac:dyDescent="0.35">
      <c r="C73" s="124" t="s">
        <v>87</v>
      </c>
      <c r="D73" s="125"/>
      <c r="E73" s="126"/>
      <c r="G73" s="6"/>
      <c r="J73" s="14"/>
    </row>
    <row r="74" spans="3:15" ht="20.149999999999999" customHeight="1" x14ac:dyDescent="0.35">
      <c r="C74" s="1">
        <v>1</v>
      </c>
      <c r="D74" s="2" t="s">
        <v>54</v>
      </c>
      <c r="E74" s="1">
        <f>I71</f>
        <v>0</v>
      </c>
    </row>
    <row r="79" spans="3:15" ht="20.149999999999999" customHeight="1" x14ac:dyDescent="0.35">
      <c r="C79" s="119" t="s">
        <v>58</v>
      </c>
      <c r="D79" s="119"/>
      <c r="E79" s="119"/>
    </row>
    <row r="80" spans="3:15" ht="20.149999999999999" customHeight="1" x14ac:dyDescent="0.35">
      <c r="C80" s="13"/>
      <c r="D80" s="13"/>
      <c r="E80" s="13"/>
    </row>
    <row r="81" spans="3:5" ht="20.149999999999999" customHeight="1" x14ac:dyDescent="0.35">
      <c r="C81" s="51" t="s">
        <v>5</v>
      </c>
      <c r="D81" s="52" t="s">
        <v>59</v>
      </c>
      <c r="E81" s="52" t="s">
        <v>53</v>
      </c>
    </row>
    <row r="82" spans="3:5" ht="20.149999999999999" customHeight="1" x14ac:dyDescent="0.35">
      <c r="C82" s="1">
        <v>1</v>
      </c>
      <c r="D82" s="31" t="s">
        <v>60</v>
      </c>
      <c r="E82" s="1">
        <v>6.25</v>
      </c>
    </row>
    <row r="83" spans="3:5" ht="20.149999999999999" customHeight="1" x14ac:dyDescent="0.35">
      <c r="C83" s="1">
        <v>2</v>
      </c>
      <c r="D83" s="31" t="s">
        <v>61</v>
      </c>
      <c r="E83" s="1">
        <v>6.25</v>
      </c>
    </row>
    <row r="84" spans="3:5" ht="20.149999999999999" customHeight="1" x14ac:dyDescent="0.35">
      <c r="C84" s="1">
        <v>3</v>
      </c>
      <c r="D84" s="31" t="s">
        <v>62</v>
      </c>
      <c r="E84" s="1">
        <v>6.25</v>
      </c>
    </row>
    <row r="85" spans="3:5" ht="20.149999999999999" customHeight="1" x14ac:dyDescent="0.35">
      <c r="C85" s="1">
        <v>4</v>
      </c>
      <c r="D85" s="31" t="s">
        <v>63</v>
      </c>
      <c r="E85" s="1">
        <v>6.25</v>
      </c>
    </row>
    <row r="86" spans="3:5" ht="20.149999999999999" customHeight="1" x14ac:dyDescent="0.35">
      <c r="C86" s="1">
        <v>5</v>
      </c>
      <c r="D86" s="31" t="s">
        <v>64</v>
      </c>
      <c r="E86" s="1">
        <v>6.25</v>
      </c>
    </row>
    <row r="87" spans="3:5" ht="20.149999999999999" customHeight="1" x14ac:dyDescent="0.35">
      <c r="C87" s="1">
        <v>6</v>
      </c>
      <c r="D87" s="31" t="s">
        <v>65</v>
      </c>
      <c r="E87" s="1">
        <v>6.25</v>
      </c>
    </row>
    <row r="88" spans="3:5" ht="20.149999999999999" customHeight="1" x14ac:dyDescent="0.35">
      <c r="C88" s="1">
        <v>7</v>
      </c>
      <c r="D88" s="31" t="s">
        <v>66</v>
      </c>
      <c r="E88" s="1">
        <v>6.25</v>
      </c>
    </row>
    <row r="89" spans="3:5" ht="20.149999999999999" customHeight="1" x14ac:dyDescent="0.35">
      <c r="C89" s="1">
        <v>8</v>
      </c>
      <c r="D89" s="31" t="s">
        <v>67</v>
      </c>
      <c r="E89" s="1">
        <v>6.25</v>
      </c>
    </row>
    <row r="90" spans="3:5" ht="20.149999999999999" customHeight="1" x14ac:dyDescent="0.35">
      <c r="C90" s="1">
        <v>9</v>
      </c>
      <c r="D90" s="31" t="s">
        <v>68</v>
      </c>
      <c r="E90" s="1">
        <v>6.25</v>
      </c>
    </row>
    <row r="91" spans="3:5" ht="20.149999999999999" customHeight="1" x14ac:dyDescent="0.35">
      <c r="C91" s="1">
        <v>10</v>
      </c>
      <c r="D91" s="31" t="s">
        <v>69</v>
      </c>
      <c r="E91" s="1">
        <v>5.95</v>
      </c>
    </row>
    <row r="92" spans="3:5" ht="20.149999999999999" customHeight="1" x14ac:dyDescent="0.35">
      <c r="C92" s="1">
        <v>11</v>
      </c>
      <c r="D92" s="31" t="s">
        <v>70</v>
      </c>
      <c r="E92" s="1">
        <v>5.7</v>
      </c>
    </row>
    <row r="93" spans="3:5" ht="20.149999999999999" customHeight="1" x14ac:dyDescent="0.35">
      <c r="C93" s="1">
        <v>12</v>
      </c>
      <c r="D93" s="31" t="s">
        <v>71</v>
      </c>
      <c r="E93" s="1">
        <v>5.7</v>
      </c>
    </row>
    <row r="94" spans="3:5" ht="20.149999999999999" customHeight="1" x14ac:dyDescent="0.35">
      <c r="C94" s="1">
        <v>13</v>
      </c>
      <c r="D94" s="31" t="s">
        <v>72</v>
      </c>
      <c r="E94" s="1">
        <v>5.7</v>
      </c>
    </row>
    <row r="95" spans="3:5" ht="20.149999999999999" customHeight="1" x14ac:dyDescent="0.35">
      <c r="C95" s="1">
        <v>14</v>
      </c>
      <c r="D95" s="31" t="s">
        <v>73</v>
      </c>
      <c r="E95" s="1">
        <v>5.46</v>
      </c>
    </row>
    <row r="96" spans="3:5" ht="20.149999999999999" customHeight="1" x14ac:dyDescent="0.35">
      <c r="C96" s="1">
        <v>15</v>
      </c>
      <c r="D96" s="31" t="s">
        <v>74</v>
      </c>
      <c r="E96" s="1">
        <v>5.75</v>
      </c>
    </row>
    <row r="97" spans="3:5" ht="20.149999999999999" customHeight="1" x14ac:dyDescent="0.35">
      <c r="C97" s="1">
        <v>16</v>
      </c>
      <c r="D97" s="31" t="s">
        <v>75</v>
      </c>
      <c r="E97" s="1">
        <v>5.18</v>
      </c>
    </row>
    <row r="98" spans="3:5" ht="20.149999999999999" customHeight="1" x14ac:dyDescent="0.35">
      <c r="C98" s="1">
        <v>17</v>
      </c>
      <c r="D98" s="31" t="s">
        <v>76</v>
      </c>
      <c r="E98" s="1">
        <v>6.38</v>
      </c>
    </row>
    <row r="99" spans="3:5" ht="20.149999999999999" customHeight="1" x14ac:dyDescent="0.35">
      <c r="C99" s="1">
        <v>18</v>
      </c>
      <c r="D99" s="31" t="s">
        <v>77</v>
      </c>
      <c r="E99" s="1">
        <v>5.55</v>
      </c>
    </row>
    <row r="100" spans="3:5" ht="20.149999999999999" customHeight="1" x14ac:dyDescent="0.35">
      <c r="C100" s="31">
        <v>19</v>
      </c>
      <c r="D100" s="31" t="s">
        <v>160</v>
      </c>
      <c r="E100" s="1">
        <v>5.75</v>
      </c>
    </row>
    <row r="102" spans="3:5" ht="20.149999999999999" customHeight="1" x14ac:dyDescent="0.35">
      <c r="D102" s="5" t="s">
        <v>84</v>
      </c>
    </row>
    <row r="104" spans="3:5" ht="20.149999999999999" customHeight="1" x14ac:dyDescent="0.35">
      <c r="D104" s="33" t="s">
        <v>157</v>
      </c>
    </row>
  </sheetData>
  <mergeCells count="30">
    <mergeCell ref="C79:E79"/>
    <mergeCell ref="C32:E32"/>
    <mergeCell ref="C44:E44"/>
    <mergeCell ref="C60:E60"/>
    <mergeCell ref="C73:E73"/>
    <mergeCell ref="H67:O67"/>
    <mergeCell ref="I55:O55"/>
    <mergeCell ref="H24:O24"/>
    <mergeCell ref="H38:O38"/>
    <mergeCell ref="C49:O49"/>
    <mergeCell ref="H52:O52"/>
    <mergeCell ref="I27:O27"/>
    <mergeCell ref="I30:O30"/>
    <mergeCell ref="I58:O58"/>
    <mergeCell ref="C3:O5"/>
    <mergeCell ref="C21:O21"/>
    <mergeCell ref="C48:O48"/>
    <mergeCell ref="C15:I15"/>
    <mergeCell ref="C18:G18"/>
    <mergeCell ref="I9:I10"/>
    <mergeCell ref="O9:T9"/>
    <mergeCell ref="P13:V13"/>
    <mergeCell ref="C14:G14"/>
    <mergeCell ref="P17:V17"/>
    <mergeCell ref="C11:I11"/>
    <mergeCell ref="C9:C10"/>
    <mergeCell ref="D9:D10"/>
    <mergeCell ref="E9:E10"/>
    <mergeCell ref="F9:G9"/>
    <mergeCell ref="H9:H10"/>
  </mergeCells>
  <pageMargins left="0.7" right="0.7" top="0.75" bottom="0.75" header="0.3" footer="0.3"/>
  <pageSetup paperSize="9" scale="28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21"/>
  <sheetViews>
    <sheetView showGridLines="0" view="pageBreakPreview" topLeftCell="A76" zoomScale="10" zoomScaleNormal="70" zoomScaleSheetLayoutView="10" zoomScalePageLayoutView="46" workbookViewId="0">
      <selection activeCell="B44" sqref="B44:F44"/>
    </sheetView>
  </sheetViews>
  <sheetFormatPr defaultColWidth="9.1796875" defaultRowHeight="20.149999999999999" customHeight="1" x14ac:dyDescent="0.3"/>
  <cols>
    <col min="1" max="2" width="9.1796875" style="33"/>
    <col min="3" max="3" width="76.26953125" style="33" customWidth="1"/>
    <col min="4" max="4" width="39.81640625" style="33" customWidth="1"/>
    <col min="5" max="5" width="14.7265625" style="33" customWidth="1"/>
    <col min="6" max="6" width="16.81640625" style="33" customWidth="1"/>
    <col min="7" max="7" width="39.453125" style="33" bestFit="1" customWidth="1"/>
    <col min="8" max="8" width="46.81640625" style="33" customWidth="1"/>
    <col min="9" max="9" width="39.81640625" style="33" bestFit="1" customWidth="1"/>
    <col min="10" max="10" width="50.54296875" style="33" bestFit="1" customWidth="1"/>
    <col min="11" max="11" width="9.7265625" style="33" bestFit="1" customWidth="1"/>
    <col min="12" max="16384" width="9.1796875" style="33"/>
  </cols>
  <sheetData>
    <row r="2" spans="2:14" ht="20.149999999999999" customHeight="1" thickBot="1" x14ac:dyDescent="0.35"/>
    <row r="3" spans="2:14" ht="20.149999999999999" customHeight="1" x14ac:dyDescent="0.3">
      <c r="B3" s="104" t="s">
        <v>110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</row>
    <row r="4" spans="2:14" ht="20.149999999999999" customHeight="1" x14ac:dyDescent="0.3">
      <c r="B4" s="107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</row>
    <row r="5" spans="2:14" ht="20.149999999999999" customHeight="1" thickBot="1" x14ac:dyDescent="0.35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</row>
    <row r="6" spans="2:14" ht="20.149999999999999" customHeight="1" x14ac:dyDescent="0.3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ht="20.149999999999999" customHeight="1" x14ac:dyDescent="0.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 ht="20.149999999999999" customHeight="1" x14ac:dyDescent="0.4">
      <c r="B8" s="63" t="s">
        <v>114</v>
      </c>
      <c r="N8" s="8"/>
    </row>
    <row r="9" spans="2:14" ht="20.149999999999999" customHeight="1" x14ac:dyDescent="0.35">
      <c r="N9" s="5"/>
    </row>
    <row r="10" spans="2:14" ht="20.149999999999999" customHeight="1" x14ac:dyDescent="0.35">
      <c r="B10" s="120" t="s">
        <v>5</v>
      </c>
      <c r="C10" s="120" t="s">
        <v>92</v>
      </c>
      <c r="D10" s="120" t="s">
        <v>93</v>
      </c>
      <c r="E10" s="122" t="s">
        <v>94</v>
      </c>
      <c r="F10" s="123"/>
      <c r="G10" s="120" t="s">
        <v>95</v>
      </c>
      <c r="H10" s="120" t="s">
        <v>31</v>
      </c>
      <c r="J10" s="5"/>
      <c r="N10" s="5"/>
    </row>
    <row r="11" spans="2:14" ht="20.149999999999999" customHeight="1" x14ac:dyDescent="0.35">
      <c r="B11" s="121"/>
      <c r="C11" s="121"/>
      <c r="D11" s="121"/>
      <c r="E11" s="51" t="s">
        <v>33</v>
      </c>
      <c r="F11" s="51" t="s">
        <v>34</v>
      </c>
      <c r="G11" s="121"/>
      <c r="H11" s="121"/>
      <c r="J11" s="5"/>
      <c r="N11" s="5"/>
    </row>
    <row r="12" spans="2:14" ht="20.149999999999999" customHeight="1" x14ac:dyDescent="0.35">
      <c r="B12" s="1">
        <v>1</v>
      </c>
      <c r="C12" s="1" t="s">
        <v>103</v>
      </c>
      <c r="D12" s="1" t="s">
        <v>96</v>
      </c>
      <c r="E12" s="50">
        <v>0</v>
      </c>
      <c r="F12" s="50">
        <v>0</v>
      </c>
      <c r="G12" s="50">
        <f>F12-E12</f>
        <v>0</v>
      </c>
      <c r="H12" s="1" t="s">
        <v>4</v>
      </c>
      <c r="J12" s="5"/>
      <c r="N12" s="5"/>
    </row>
    <row r="13" spans="2:14" ht="20.149999999999999" customHeight="1" x14ac:dyDescent="0.35">
      <c r="B13" s="1">
        <v>2</v>
      </c>
      <c r="C13" s="1" t="s">
        <v>104</v>
      </c>
      <c r="D13" s="53"/>
      <c r="E13" s="50">
        <v>0</v>
      </c>
      <c r="F13" s="50">
        <v>0</v>
      </c>
      <c r="G13" s="50">
        <f t="shared" ref="G13" si="0">F13-E13</f>
        <v>0</v>
      </c>
      <c r="H13" s="53"/>
      <c r="J13" s="5"/>
      <c r="N13" s="5"/>
    </row>
    <row r="14" spans="2:14" ht="20.149999999999999" customHeight="1" x14ac:dyDescent="0.35">
      <c r="B14" s="130" t="s">
        <v>97</v>
      </c>
      <c r="C14" s="131"/>
      <c r="D14" s="131"/>
      <c r="E14" s="131"/>
      <c r="F14" s="132"/>
      <c r="G14" s="21">
        <f>AVERAGE(G12:G13)</f>
        <v>0</v>
      </c>
      <c r="H14" s="53"/>
      <c r="J14" s="5"/>
      <c r="N14" s="5"/>
    </row>
    <row r="15" spans="2:14" ht="20.149999999999999" customHeight="1" x14ac:dyDescent="0.35">
      <c r="B15" s="5"/>
      <c r="C15" s="5"/>
      <c r="D15" s="5"/>
      <c r="E15" s="5"/>
      <c r="F15" s="5"/>
      <c r="G15" s="5"/>
      <c r="H15" s="5"/>
      <c r="J15" s="5"/>
      <c r="N15" s="5"/>
    </row>
    <row r="16" spans="2:14" ht="20.149999999999999" customHeight="1" x14ac:dyDescent="0.35">
      <c r="B16" s="5"/>
      <c r="C16" s="5"/>
      <c r="D16" s="5"/>
      <c r="E16" s="5"/>
      <c r="F16" s="5"/>
      <c r="G16" s="5"/>
      <c r="H16" s="5"/>
      <c r="I16" s="5"/>
      <c r="J16" s="5"/>
      <c r="N16" s="5"/>
    </row>
    <row r="17" spans="2:14" ht="20.149999999999999" customHeight="1" x14ac:dyDescent="0.35">
      <c r="I17" s="5"/>
      <c r="J17" s="5"/>
      <c r="N17" s="5"/>
    </row>
    <row r="18" spans="2:14" ht="20.149999999999999" customHeight="1" x14ac:dyDescent="0.35">
      <c r="E18" s="133" t="s">
        <v>98</v>
      </c>
      <c r="F18" s="133"/>
      <c r="G18" s="133"/>
      <c r="H18" s="133"/>
      <c r="I18" s="133"/>
      <c r="J18" s="71"/>
      <c r="K18" s="71"/>
      <c r="L18" s="71"/>
      <c r="M18" s="71"/>
      <c r="N18" s="5"/>
    </row>
    <row r="19" spans="2:14" ht="20.149999999999999" customHeight="1" x14ac:dyDescent="0.35">
      <c r="B19" s="57" t="s">
        <v>5</v>
      </c>
      <c r="C19" s="51" t="s">
        <v>32</v>
      </c>
      <c r="D19" s="51" t="s">
        <v>86</v>
      </c>
      <c r="E19" s="8"/>
      <c r="F19" s="8"/>
      <c r="G19" s="8"/>
      <c r="H19" s="8"/>
      <c r="I19" s="54"/>
      <c r="J19" s="54"/>
      <c r="K19" s="54"/>
      <c r="N19" s="5"/>
    </row>
    <row r="20" spans="2:14" ht="20.149999999999999" customHeight="1" x14ac:dyDescent="0.35">
      <c r="B20" s="1">
        <v>1</v>
      </c>
      <c r="C20" s="2" t="s">
        <v>93</v>
      </c>
      <c r="D20" s="1">
        <v>0</v>
      </c>
      <c r="E20" s="8"/>
      <c r="F20" s="8" t="s">
        <v>99</v>
      </c>
      <c r="G20" s="7" t="str">
        <f>C20</f>
        <v>Volume Y (ml)</v>
      </c>
      <c r="H20" s="7" t="s">
        <v>106</v>
      </c>
      <c r="I20" s="7" t="str">
        <f>C21</f>
        <v>Konsentrasi Y</v>
      </c>
      <c r="J20" s="8"/>
      <c r="K20" s="8"/>
      <c r="N20" s="5"/>
    </row>
    <row r="21" spans="2:14" ht="20.149999999999999" customHeight="1" x14ac:dyDescent="0.35">
      <c r="B21" s="1">
        <v>2</v>
      </c>
      <c r="C21" s="2" t="s">
        <v>116</v>
      </c>
      <c r="D21" s="1">
        <v>0</v>
      </c>
      <c r="E21" s="8"/>
      <c r="F21" s="8" t="s">
        <v>4</v>
      </c>
      <c r="G21" s="8" t="s">
        <v>101</v>
      </c>
      <c r="H21" s="8"/>
      <c r="I21" s="8"/>
      <c r="J21" s="8" t="s">
        <v>4</v>
      </c>
      <c r="K21" s="8" t="s">
        <v>4</v>
      </c>
      <c r="N21" s="5"/>
    </row>
    <row r="22" spans="2:14" ht="20.149999999999999" customHeight="1" x14ac:dyDescent="0.35">
      <c r="B22" s="1">
        <v>3</v>
      </c>
      <c r="C22" s="2" t="s">
        <v>149</v>
      </c>
      <c r="D22" s="21">
        <f>G14</f>
        <v>0</v>
      </c>
      <c r="E22" s="8"/>
      <c r="F22" s="8"/>
      <c r="G22" s="8"/>
      <c r="H22" s="8"/>
      <c r="I22" s="8"/>
      <c r="J22" s="8"/>
      <c r="K22" s="8"/>
      <c r="N22" s="5"/>
    </row>
    <row r="23" spans="2:14" ht="20.149999999999999" customHeight="1" x14ac:dyDescent="0.35">
      <c r="B23" s="122" t="s">
        <v>87</v>
      </c>
      <c r="C23" s="135"/>
      <c r="D23" s="123"/>
      <c r="E23" s="8"/>
      <c r="J23" s="8"/>
      <c r="K23" s="8"/>
      <c r="N23" s="5"/>
    </row>
    <row r="24" spans="2:14" ht="20.149999999999999" customHeight="1" x14ac:dyDescent="0.35">
      <c r="B24" s="1">
        <v>1</v>
      </c>
      <c r="C24" s="55" t="s">
        <v>102</v>
      </c>
      <c r="D24" s="56" t="str">
        <f>G30</f>
        <v>0</v>
      </c>
      <c r="E24" s="8"/>
      <c r="F24" s="6" t="s">
        <v>17</v>
      </c>
      <c r="G24" s="7">
        <f>D20</f>
        <v>0</v>
      </c>
      <c r="H24" s="7" t="s">
        <v>107</v>
      </c>
      <c r="I24" s="7">
        <f>D21</f>
        <v>0</v>
      </c>
      <c r="J24" s="8"/>
      <c r="K24" s="8"/>
      <c r="N24" s="5"/>
    </row>
    <row r="25" spans="2:14" ht="20.149999999999999" customHeight="1" x14ac:dyDescent="0.35">
      <c r="B25" s="8"/>
      <c r="C25" s="8"/>
      <c r="D25" s="8"/>
      <c r="E25" s="8"/>
      <c r="F25" s="6"/>
      <c r="G25" s="49">
        <f>D22</f>
        <v>0</v>
      </c>
      <c r="H25" s="49"/>
      <c r="I25" s="49"/>
      <c r="J25" s="8"/>
      <c r="K25" s="8"/>
      <c r="N25" s="5"/>
    </row>
    <row r="26" spans="2:14" ht="20.149999999999999" customHeight="1" x14ac:dyDescent="0.35">
      <c r="B26" s="8"/>
      <c r="C26" s="8"/>
      <c r="D26" s="8"/>
      <c r="E26" s="8"/>
      <c r="F26" s="6"/>
      <c r="G26" s="8"/>
      <c r="H26" s="8"/>
      <c r="I26" s="8"/>
      <c r="J26" s="8"/>
      <c r="K26" s="8"/>
      <c r="N26" s="5"/>
    </row>
    <row r="27" spans="2:14" ht="20.149999999999999" customHeight="1" x14ac:dyDescent="0.35">
      <c r="B27" s="8" t="s">
        <v>109</v>
      </c>
      <c r="C27" s="8" t="s">
        <v>117</v>
      </c>
      <c r="D27" s="8"/>
      <c r="E27" s="8"/>
      <c r="F27" s="6" t="s">
        <v>17</v>
      </c>
      <c r="G27" s="7">
        <f>G24*I24</f>
        <v>0</v>
      </c>
      <c r="H27" s="8"/>
      <c r="I27" s="8"/>
      <c r="J27" s="8"/>
      <c r="K27" s="8"/>
      <c r="N27" s="5"/>
    </row>
    <row r="28" spans="2:14" ht="20.149999999999999" customHeight="1" x14ac:dyDescent="0.35">
      <c r="B28" s="8" t="s">
        <v>108</v>
      </c>
      <c r="C28" s="8" t="s">
        <v>115</v>
      </c>
      <c r="D28" s="14"/>
      <c r="E28" s="8" t="s">
        <v>4</v>
      </c>
      <c r="F28" s="8"/>
      <c r="G28" s="49">
        <f>G25</f>
        <v>0</v>
      </c>
      <c r="H28" s="8"/>
      <c r="I28" s="8" t="s">
        <v>4</v>
      </c>
      <c r="J28" s="8"/>
      <c r="K28" s="8"/>
      <c r="N28" s="5"/>
    </row>
    <row r="29" spans="2:14" ht="20.149999999999999" customHeight="1" x14ac:dyDescent="0.3">
      <c r="B29" s="14"/>
      <c r="C29" s="14"/>
      <c r="D29" s="14"/>
      <c r="E29" s="8"/>
      <c r="F29" s="8"/>
      <c r="G29" s="8"/>
      <c r="H29" s="8"/>
      <c r="I29" s="8"/>
      <c r="J29" s="8"/>
      <c r="K29" s="8"/>
    </row>
    <row r="30" spans="2:14" ht="20.149999999999999" customHeight="1" x14ac:dyDescent="0.3">
      <c r="F30" s="8" t="s">
        <v>99</v>
      </c>
      <c r="G30" s="84" t="str">
        <f>IFERROR(G27/G28,"0")</f>
        <v>0</v>
      </c>
      <c r="H30" s="8"/>
      <c r="I30" s="8"/>
      <c r="J30" s="8"/>
      <c r="K30" s="8"/>
    </row>
    <row r="33" spans="2:13" ht="20.149999999999999" customHeight="1" x14ac:dyDescent="0.4">
      <c r="B33" s="63" t="s">
        <v>112</v>
      </c>
    </row>
    <row r="35" spans="2:13" ht="20.149999999999999" customHeight="1" x14ac:dyDescent="0.3">
      <c r="B35" s="120" t="s">
        <v>5</v>
      </c>
      <c r="C35" s="120" t="s">
        <v>28</v>
      </c>
      <c r="D35" s="120" t="s">
        <v>45</v>
      </c>
      <c r="E35" s="122" t="s">
        <v>29</v>
      </c>
      <c r="F35" s="123"/>
      <c r="G35" s="120" t="s">
        <v>30</v>
      </c>
      <c r="H35" s="120" t="s">
        <v>31</v>
      </c>
    </row>
    <row r="36" spans="2:13" ht="20.149999999999999" customHeight="1" x14ac:dyDescent="0.3">
      <c r="B36" s="121"/>
      <c r="C36" s="121"/>
      <c r="D36" s="121"/>
      <c r="E36" s="51" t="s">
        <v>33</v>
      </c>
      <c r="F36" s="51" t="s">
        <v>34</v>
      </c>
      <c r="G36" s="121"/>
      <c r="H36" s="121"/>
    </row>
    <row r="37" spans="2:13" ht="20.149999999999999" customHeight="1" x14ac:dyDescent="0.3">
      <c r="B37" s="127" t="s">
        <v>38</v>
      </c>
      <c r="C37" s="128"/>
      <c r="D37" s="128"/>
      <c r="E37" s="128"/>
      <c r="F37" s="128"/>
      <c r="G37" s="128"/>
      <c r="H37" s="129"/>
    </row>
    <row r="38" spans="2:13" ht="20.149999999999999" customHeight="1" x14ac:dyDescent="0.3">
      <c r="B38" s="1">
        <v>1</v>
      </c>
      <c r="C38" s="1" t="s">
        <v>103</v>
      </c>
      <c r="D38" s="50">
        <v>0</v>
      </c>
      <c r="E38" s="50">
        <v>0</v>
      </c>
      <c r="F38" s="50">
        <v>0</v>
      </c>
      <c r="G38" s="50">
        <f>F38-E38</f>
        <v>0</v>
      </c>
      <c r="H38" s="1"/>
    </row>
    <row r="39" spans="2:13" ht="20.149999999999999" customHeight="1" x14ac:dyDescent="0.3">
      <c r="B39" s="1">
        <v>2</v>
      </c>
      <c r="C39" s="1" t="s">
        <v>104</v>
      </c>
      <c r="D39" s="50">
        <v>0</v>
      </c>
      <c r="E39" s="50">
        <v>0</v>
      </c>
      <c r="F39" s="50">
        <v>0</v>
      </c>
      <c r="G39" s="50">
        <f>F39-E39</f>
        <v>0</v>
      </c>
      <c r="H39" s="1"/>
    </row>
    <row r="40" spans="2:13" ht="20.149999999999999" customHeight="1" x14ac:dyDescent="0.3">
      <c r="B40" s="130" t="s">
        <v>44</v>
      </c>
      <c r="C40" s="131"/>
      <c r="D40" s="131"/>
      <c r="E40" s="131"/>
      <c r="F40" s="132"/>
      <c r="G40" s="21">
        <f>AVERAGE(G38:G39)</f>
        <v>0</v>
      </c>
      <c r="H40" s="1"/>
    </row>
    <row r="41" spans="2:13" ht="20.149999999999999" customHeight="1" x14ac:dyDescent="0.3">
      <c r="B41" s="127" t="s">
        <v>37</v>
      </c>
      <c r="C41" s="128"/>
      <c r="D41" s="128"/>
      <c r="E41" s="128"/>
      <c r="F41" s="128"/>
      <c r="G41" s="128"/>
      <c r="H41" s="129"/>
    </row>
    <row r="42" spans="2:13" ht="20.149999999999999" customHeight="1" x14ac:dyDescent="0.3">
      <c r="B42" s="1">
        <v>1</v>
      </c>
      <c r="C42" s="1" t="s">
        <v>103</v>
      </c>
      <c r="D42" s="50">
        <v>0</v>
      </c>
      <c r="E42" s="50">
        <v>0</v>
      </c>
      <c r="F42" s="50">
        <v>0</v>
      </c>
      <c r="G42" s="50">
        <f>F42-E42</f>
        <v>0</v>
      </c>
      <c r="H42" s="1"/>
    </row>
    <row r="43" spans="2:13" ht="20.149999999999999" customHeight="1" x14ac:dyDescent="0.3">
      <c r="B43" s="1">
        <v>2</v>
      </c>
      <c r="C43" s="1" t="s">
        <v>104</v>
      </c>
      <c r="D43" s="50">
        <v>0</v>
      </c>
      <c r="E43" s="50">
        <v>0</v>
      </c>
      <c r="F43" s="50">
        <v>0</v>
      </c>
      <c r="G43" s="50">
        <f>F43-E43</f>
        <v>0</v>
      </c>
      <c r="H43" s="1"/>
    </row>
    <row r="44" spans="2:13" ht="20.149999999999999" customHeight="1" x14ac:dyDescent="0.3">
      <c r="B44" s="130" t="s">
        <v>39</v>
      </c>
      <c r="C44" s="131"/>
      <c r="D44" s="131"/>
      <c r="E44" s="131"/>
      <c r="F44" s="132"/>
      <c r="G44" s="21">
        <f>AVERAGE(G38:G39)</f>
        <v>0</v>
      </c>
      <c r="H44" s="1"/>
    </row>
    <row r="45" spans="2:13" ht="20.149999999999999" customHeight="1" x14ac:dyDescent="0.3">
      <c r="B45" s="33" t="s">
        <v>122</v>
      </c>
      <c r="C45" s="8" t="s">
        <v>117</v>
      </c>
    </row>
    <row r="48" spans="2:13" ht="20.149999999999999" customHeight="1" x14ac:dyDescent="0.3">
      <c r="F48" s="136" t="s">
        <v>113</v>
      </c>
      <c r="G48" s="136"/>
      <c r="H48" s="136"/>
      <c r="I48" s="136"/>
      <c r="J48" s="136"/>
      <c r="K48" s="136"/>
      <c r="L48" s="136"/>
      <c r="M48" s="136"/>
    </row>
    <row r="49" spans="2:14" ht="20.149999999999999" customHeight="1" x14ac:dyDescent="0.3">
      <c r="B49" s="51" t="s">
        <v>5</v>
      </c>
      <c r="C49" s="51" t="s">
        <v>32</v>
      </c>
      <c r="D49" s="51" t="s">
        <v>86</v>
      </c>
    </row>
    <row r="50" spans="2:14" ht="20.149999999999999" customHeight="1" x14ac:dyDescent="0.3">
      <c r="B50" s="1">
        <v>1</v>
      </c>
      <c r="C50" s="2" t="s">
        <v>130</v>
      </c>
      <c r="D50" s="21">
        <f>G40</f>
        <v>0</v>
      </c>
      <c r="F50" s="142" t="s">
        <v>120</v>
      </c>
      <c r="G50" s="142"/>
      <c r="H50" s="7" t="s">
        <v>121</v>
      </c>
      <c r="I50" s="7" t="s">
        <v>107</v>
      </c>
      <c r="J50" s="7" t="str">
        <f>C53</f>
        <v>Konsentrasi Penitar yang terstandarisasi(N, M)</v>
      </c>
    </row>
    <row r="51" spans="2:14" ht="20.149999999999999" customHeight="1" x14ac:dyDescent="0.35">
      <c r="B51" s="1">
        <v>2</v>
      </c>
      <c r="C51" s="2" t="s">
        <v>131</v>
      </c>
      <c r="D51" s="21">
        <f>G44</f>
        <v>0</v>
      </c>
      <c r="G51" s="22"/>
      <c r="H51" s="5"/>
      <c r="I51" s="5" t="str">
        <f>C54</f>
        <v>Konsentrasi Penitar yang dibuat (N)</v>
      </c>
      <c r="J51" s="5"/>
    </row>
    <row r="52" spans="2:14" ht="20.149999999999999" customHeight="1" x14ac:dyDescent="0.3">
      <c r="B52" s="1">
        <v>3</v>
      </c>
      <c r="C52" s="2" t="s">
        <v>41</v>
      </c>
      <c r="D52" s="1" t="s">
        <v>118</v>
      </c>
    </row>
    <row r="53" spans="2:14" ht="20.149999999999999" customHeight="1" x14ac:dyDescent="0.35">
      <c r="B53" s="1">
        <v>4</v>
      </c>
      <c r="C53" s="2" t="s">
        <v>123</v>
      </c>
      <c r="D53" s="83" t="str">
        <f>G30</f>
        <v>0</v>
      </c>
      <c r="G53" s="22" t="s">
        <v>17</v>
      </c>
      <c r="H53" s="66">
        <f>D50-D51</f>
        <v>0</v>
      </c>
      <c r="I53" s="7" t="s">
        <v>107</v>
      </c>
      <c r="J53" s="67" t="str">
        <f>D53</f>
        <v>0</v>
      </c>
    </row>
    <row r="54" spans="2:14" ht="20.149999999999999" customHeight="1" x14ac:dyDescent="0.35">
      <c r="B54" s="1">
        <v>5</v>
      </c>
      <c r="C54" s="2" t="s">
        <v>124</v>
      </c>
      <c r="D54" s="4">
        <v>0.1</v>
      </c>
      <c r="G54" s="22"/>
      <c r="H54" s="138">
        <f>D54</f>
        <v>0.1</v>
      </c>
      <c r="I54" s="138"/>
      <c r="J54" s="138"/>
    </row>
    <row r="55" spans="2:14" ht="20.149999999999999" customHeight="1" x14ac:dyDescent="0.35">
      <c r="B55" s="124" t="s">
        <v>87</v>
      </c>
      <c r="C55" s="125"/>
      <c r="D55" s="126"/>
      <c r="G55" s="22" t="s">
        <v>17</v>
      </c>
      <c r="H55" s="69">
        <f>PRODUCT(H53:J53)</f>
        <v>0</v>
      </c>
      <c r="I55" s="5"/>
      <c r="J55" s="5"/>
    </row>
    <row r="56" spans="2:14" ht="20.149999999999999" customHeight="1" x14ac:dyDescent="0.35">
      <c r="B56" s="1">
        <v>1</v>
      </c>
      <c r="C56" s="2" t="s">
        <v>119</v>
      </c>
      <c r="D56" s="4">
        <f>H58</f>
        <v>0</v>
      </c>
      <c r="G56" s="5"/>
      <c r="H56" s="70">
        <f>H54</f>
        <v>0.1</v>
      </c>
      <c r="I56" s="5"/>
      <c r="J56" s="5"/>
    </row>
    <row r="57" spans="2:14" ht="20.149999999999999" customHeight="1" x14ac:dyDescent="0.35">
      <c r="G57" s="5"/>
      <c r="H57" s="13"/>
      <c r="I57" s="5"/>
      <c r="J57" s="5"/>
    </row>
    <row r="58" spans="2:14" ht="20.149999999999999" customHeight="1" x14ac:dyDescent="0.35">
      <c r="G58" s="14" t="s">
        <v>120</v>
      </c>
      <c r="H58" s="12">
        <f>IFERROR(H55/H56,"0")</f>
        <v>0</v>
      </c>
      <c r="I58" s="5"/>
      <c r="J58" s="5"/>
    </row>
    <row r="59" spans="2:14" ht="20.149999999999999" customHeight="1" x14ac:dyDescent="0.35">
      <c r="G59" s="5"/>
      <c r="H59" s="13"/>
      <c r="I59" s="5"/>
      <c r="J59" s="5"/>
    </row>
    <row r="61" spans="2:14" ht="20.149999999999999" customHeight="1" x14ac:dyDescent="0.4">
      <c r="B61" s="140" t="s">
        <v>135</v>
      </c>
      <c r="C61" s="140"/>
      <c r="D61" s="140"/>
      <c r="E61" s="140"/>
      <c r="F61" s="140"/>
      <c r="G61" s="140"/>
      <c r="H61" s="140"/>
      <c r="I61" s="140"/>
      <c r="J61" s="140"/>
      <c r="K61" s="140"/>
      <c r="L61" s="140"/>
    </row>
    <row r="63" spans="2:14" ht="20.149999999999999" customHeight="1" x14ac:dyDescent="0.35">
      <c r="F63" s="5"/>
    </row>
    <row r="64" spans="2:14" ht="20.149999999999999" customHeight="1" x14ac:dyDescent="0.3">
      <c r="B64" s="136" t="s">
        <v>138</v>
      </c>
      <c r="C64" s="136"/>
      <c r="D64" s="136"/>
      <c r="E64" s="136"/>
      <c r="F64" s="136"/>
      <c r="G64" s="136"/>
      <c r="H64" s="136"/>
      <c r="I64" s="136"/>
      <c r="J64" s="72"/>
      <c r="K64" s="72"/>
      <c r="L64" s="72"/>
      <c r="M64" s="72"/>
      <c r="N64" s="72"/>
    </row>
    <row r="65" spans="2:11" ht="20.149999999999999" customHeight="1" x14ac:dyDescent="0.3">
      <c r="D65" s="73"/>
      <c r="E65" s="73"/>
      <c r="F65" s="73"/>
      <c r="H65" s="137" t="s">
        <v>125</v>
      </c>
      <c r="I65" s="137"/>
      <c r="J65" s="137"/>
      <c r="K65" s="137"/>
    </row>
    <row r="66" spans="2:11" ht="20.149999999999999" customHeight="1" x14ac:dyDescent="0.35">
      <c r="G66" s="5"/>
      <c r="H66" s="5"/>
      <c r="I66" s="5"/>
      <c r="J66" s="5"/>
    </row>
    <row r="67" spans="2:11" ht="20.149999999999999" customHeight="1" x14ac:dyDescent="0.35">
      <c r="G67" s="5"/>
      <c r="H67" s="51" t="s">
        <v>129</v>
      </c>
      <c r="I67" s="51" t="s">
        <v>126</v>
      </c>
      <c r="J67" s="51" t="s">
        <v>127</v>
      </c>
      <c r="K67" s="51" t="s">
        <v>128</v>
      </c>
    </row>
    <row r="68" spans="2:11" ht="20.149999999999999" customHeight="1" x14ac:dyDescent="0.35">
      <c r="B68" s="5"/>
      <c r="G68" s="5"/>
      <c r="H68" s="1">
        <v>1</v>
      </c>
      <c r="I68" s="50">
        <v>2.4</v>
      </c>
      <c r="J68" s="50">
        <v>3.6</v>
      </c>
      <c r="K68" s="50">
        <v>3.9</v>
      </c>
    </row>
    <row r="69" spans="2:11" ht="20.149999999999999" customHeight="1" x14ac:dyDescent="0.35">
      <c r="B69" s="51" t="s">
        <v>5</v>
      </c>
      <c r="C69" s="51" t="s">
        <v>32</v>
      </c>
      <c r="D69" s="51" t="s">
        <v>86</v>
      </c>
      <c r="G69" s="5"/>
      <c r="H69" s="1">
        <v>2</v>
      </c>
      <c r="I69" s="50">
        <v>4.8</v>
      </c>
      <c r="J69" s="50">
        <v>7.3</v>
      </c>
      <c r="K69" s="50">
        <v>7.8</v>
      </c>
    </row>
    <row r="70" spans="2:11" ht="20.149999999999999" customHeight="1" x14ac:dyDescent="0.3">
      <c r="B70" s="1">
        <v>1</v>
      </c>
      <c r="C70" s="2" t="s">
        <v>134</v>
      </c>
      <c r="D70" s="65">
        <f>D56</f>
        <v>0</v>
      </c>
      <c r="H70" s="1">
        <v>3</v>
      </c>
      <c r="I70" s="50">
        <v>7.2</v>
      </c>
      <c r="J70" s="50">
        <v>11</v>
      </c>
      <c r="K70" s="50">
        <v>11.7</v>
      </c>
    </row>
    <row r="71" spans="2:11" ht="20.149999999999999" customHeight="1" x14ac:dyDescent="0.35">
      <c r="B71" s="124" t="s">
        <v>87</v>
      </c>
      <c r="C71" s="125"/>
      <c r="D71" s="126"/>
      <c r="H71" s="1">
        <v>5</v>
      </c>
      <c r="I71" s="50">
        <v>12.2</v>
      </c>
      <c r="J71" s="50">
        <v>18.399999999999999</v>
      </c>
      <c r="K71" s="50">
        <v>19.600000000000001</v>
      </c>
    </row>
    <row r="72" spans="2:11" ht="20.149999999999999" customHeight="1" x14ac:dyDescent="0.35">
      <c r="B72" s="1">
        <v>2</v>
      </c>
      <c r="C72" s="31" t="s">
        <v>139</v>
      </c>
      <c r="D72" s="74" t="str">
        <f>IFERROR(VLOOKUP(D70,H70:K93,2,TRUE),"belum terkonversi")</f>
        <v>belum terkonversi</v>
      </c>
      <c r="H72" s="1">
        <v>6</v>
      </c>
      <c r="I72" s="50">
        <v>14.7</v>
      </c>
      <c r="J72" s="50">
        <v>22.1</v>
      </c>
      <c r="K72" s="50">
        <v>23.5</v>
      </c>
    </row>
    <row r="73" spans="2:11" ht="20.149999999999999" customHeight="1" x14ac:dyDescent="0.35">
      <c r="B73" s="5"/>
      <c r="C73" s="5"/>
      <c r="D73" s="5"/>
      <c r="H73" s="1">
        <v>7</v>
      </c>
      <c r="I73" s="50">
        <v>17.2</v>
      </c>
      <c r="J73" s="50">
        <v>25.8</v>
      </c>
      <c r="K73" s="50">
        <v>25.5</v>
      </c>
    </row>
    <row r="74" spans="2:11" ht="20.149999999999999" customHeight="1" x14ac:dyDescent="0.35">
      <c r="B74" s="5"/>
      <c r="C74" s="5"/>
      <c r="D74" s="5"/>
      <c r="H74" s="1">
        <v>8</v>
      </c>
      <c r="I74" s="50">
        <v>19.8</v>
      </c>
      <c r="J74" s="50">
        <v>29.5</v>
      </c>
      <c r="K74" s="50">
        <v>31.5</v>
      </c>
    </row>
    <row r="75" spans="2:11" ht="20.149999999999999" customHeight="1" x14ac:dyDescent="0.35">
      <c r="B75" s="5"/>
      <c r="C75" s="5"/>
      <c r="D75" s="5"/>
      <c r="H75" s="1">
        <v>9</v>
      </c>
      <c r="I75" s="50">
        <v>22.4</v>
      </c>
      <c r="J75" s="50">
        <v>33.200000000000003</v>
      </c>
      <c r="K75" s="50">
        <v>35.5</v>
      </c>
    </row>
    <row r="76" spans="2:11" ht="20.149999999999999" customHeight="1" x14ac:dyDescent="0.35">
      <c r="B76" s="5"/>
      <c r="C76" s="5"/>
      <c r="D76" s="5"/>
      <c r="H76" s="1">
        <v>10</v>
      </c>
      <c r="I76" s="50">
        <v>25</v>
      </c>
      <c r="J76" s="50">
        <v>37</v>
      </c>
      <c r="K76" s="50">
        <v>39.5</v>
      </c>
    </row>
    <row r="77" spans="2:11" ht="20.149999999999999" customHeight="1" x14ac:dyDescent="0.35">
      <c r="B77" s="5"/>
      <c r="C77" s="5"/>
      <c r="D77" s="5"/>
      <c r="H77" s="1">
        <v>11</v>
      </c>
      <c r="I77" s="50">
        <v>27.6</v>
      </c>
      <c r="J77" s="50">
        <v>40.799999999999997</v>
      </c>
      <c r="K77" s="50">
        <v>43.5</v>
      </c>
    </row>
    <row r="78" spans="2:11" ht="20.149999999999999" customHeight="1" x14ac:dyDescent="0.35">
      <c r="B78" s="5"/>
      <c r="C78" s="5"/>
      <c r="D78" s="5"/>
      <c r="G78" s="5"/>
      <c r="H78" s="1">
        <v>12</v>
      </c>
      <c r="I78" s="50">
        <v>30.3</v>
      </c>
      <c r="J78" s="50">
        <v>44.6</v>
      </c>
      <c r="K78" s="50">
        <v>47.5</v>
      </c>
    </row>
    <row r="79" spans="2:11" ht="20.149999999999999" customHeight="1" x14ac:dyDescent="0.35">
      <c r="B79" s="5"/>
      <c r="C79" s="5"/>
      <c r="D79" s="5"/>
      <c r="G79" s="5"/>
      <c r="H79" s="1">
        <v>13</v>
      </c>
      <c r="I79" s="50">
        <v>33</v>
      </c>
      <c r="J79" s="50">
        <v>48.6</v>
      </c>
      <c r="K79" s="50">
        <v>51.6</v>
      </c>
    </row>
    <row r="80" spans="2:11" ht="20.149999999999999" customHeight="1" x14ac:dyDescent="0.35">
      <c r="B80" s="5"/>
      <c r="C80" s="5"/>
      <c r="D80" s="5"/>
      <c r="G80" s="5"/>
      <c r="H80" s="1">
        <v>14</v>
      </c>
      <c r="I80" s="50">
        <v>35.700000000000003</v>
      </c>
      <c r="J80" s="50">
        <v>52.2</v>
      </c>
      <c r="K80" s="50">
        <v>55.7</v>
      </c>
    </row>
    <row r="81" spans="2:14" ht="20.149999999999999" customHeight="1" x14ac:dyDescent="0.35">
      <c r="B81" s="5" t="s">
        <v>4</v>
      </c>
      <c r="C81" s="5"/>
      <c r="D81" s="5"/>
      <c r="G81" s="5"/>
      <c r="H81" s="1">
        <v>15</v>
      </c>
      <c r="I81" s="50">
        <v>38.5</v>
      </c>
      <c r="J81" s="50">
        <v>56</v>
      </c>
      <c r="K81" s="50">
        <v>59.8</v>
      </c>
    </row>
    <row r="82" spans="2:14" ht="20.149999999999999" customHeight="1" x14ac:dyDescent="0.35">
      <c r="B82" s="5"/>
      <c r="C82" s="5"/>
      <c r="D82" s="5"/>
      <c r="G82" s="5"/>
      <c r="H82" s="1">
        <v>16</v>
      </c>
      <c r="I82" s="50">
        <v>41.3</v>
      </c>
      <c r="J82" s="50">
        <v>59.9</v>
      </c>
      <c r="K82" s="50">
        <v>63.9</v>
      </c>
    </row>
    <row r="83" spans="2:14" ht="20.149999999999999" customHeight="1" x14ac:dyDescent="0.35">
      <c r="B83" s="5"/>
      <c r="C83" s="5"/>
      <c r="D83" s="5"/>
      <c r="G83" s="5"/>
      <c r="H83" s="1">
        <v>17</v>
      </c>
      <c r="I83" s="50">
        <v>44.2</v>
      </c>
      <c r="J83" s="50">
        <v>63.8</v>
      </c>
      <c r="K83" s="50">
        <v>68</v>
      </c>
    </row>
    <row r="84" spans="2:14" ht="20.149999999999999" customHeight="1" x14ac:dyDescent="0.35">
      <c r="B84" s="5"/>
      <c r="G84" s="5"/>
      <c r="H84" s="1">
        <v>18</v>
      </c>
      <c r="I84" s="50">
        <v>47.1</v>
      </c>
      <c r="J84" s="50">
        <v>67.7</v>
      </c>
      <c r="K84" s="50">
        <v>72.2</v>
      </c>
    </row>
    <row r="85" spans="2:14" ht="20.149999999999999" customHeight="1" x14ac:dyDescent="0.35">
      <c r="B85" s="5"/>
      <c r="G85" s="5"/>
      <c r="H85" s="1">
        <v>19</v>
      </c>
      <c r="I85" s="50">
        <v>50</v>
      </c>
      <c r="J85" s="50">
        <v>71.099999999999994</v>
      </c>
      <c r="K85" s="50">
        <v>76.5</v>
      </c>
    </row>
    <row r="86" spans="2:14" ht="20.149999999999999" customHeight="1" x14ac:dyDescent="0.35">
      <c r="G86" s="5"/>
      <c r="H86" s="1">
        <v>20</v>
      </c>
      <c r="I86" s="50">
        <v>53</v>
      </c>
      <c r="J86" s="50">
        <v>75.099999999999994</v>
      </c>
      <c r="K86" s="50">
        <v>80.900000000000006</v>
      </c>
    </row>
    <row r="87" spans="2:14" ht="20.149999999999999" customHeight="1" x14ac:dyDescent="0.35">
      <c r="G87" s="5"/>
      <c r="H87" s="1">
        <v>21</v>
      </c>
      <c r="I87" s="50">
        <v>56</v>
      </c>
      <c r="J87" s="50">
        <v>79.8</v>
      </c>
      <c r="K87" s="50">
        <v>85.4</v>
      </c>
    </row>
    <row r="88" spans="2:14" ht="20.149999999999999" customHeight="1" x14ac:dyDescent="0.35">
      <c r="G88" s="5"/>
      <c r="H88" s="1">
        <v>22</v>
      </c>
      <c r="I88" s="50">
        <v>59.1</v>
      </c>
      <c r="J88" s="50">
        <v>83.9</v>
      </c>
      <c r="K88" s="50">
        <v>90</v>
      </c>
    </row>
    <row r="89" spans="2:14" ht="20.149999999999999" customHeight="1" x14ac:dyDescent="0.35">
      <c r="G89" s="5"/>
      <c r="H89" s="1">
        <v>23</v>
      </c>
      <c r="I89" s="50">
        <v>62.2</v>
      </c>
      <c r="J89" s="50">
        <v>88</v>
      </c>
      <c r="K89" s="50">
        <v>94.6</v>
      </c>
    </row>
    <row r="90" spans="2:14" ht="20.149999999999999" customHeight="1" x14ac:dyDescent="0.35">
      <c r="G90" s="5"/>
    </row>
    <row r="93" spans="2:14" ht="20.149999999999999" customHeight="1" x14ac:dyDescent="0.3">
      <c r="G93" s="136" t="s">
        <v>136</v>
      </c>
      <c r="H93" s="136"/>
      <c r="I93" s="136"/>
      <c r="J93" s="136"/>
      <c r="K93" s="72"/>
      <c r="L93" s="72"/>
      <c r="M93" s="72"/>
      <c r="N93" s="72"/>
    </row>
    <row r="94" spans="2:14" ht="20.149999999999999" customHeight="1" x14ac:dyDescent="0.35">
      <c r="B94" s="51" t="s">
        <v>5</v>
      </c>
      <c r="C94" s="51" t="s">
        <v>32</v>
      </c>
      <c r="D94" s="51" t="s">
        <v>86</v>
      </c>
      <c r="G94" s="5"/>
    </row>
    <row r="95" spans="2:14" ht="20.149999999999999" customHeight="1" x14ac:dyDescent="0.35">
      <c r="B95" s="1">
        <v>1</v>
      </c>
      <c r="C95" s="31" t="str">
        <f>C72</f>
        <v>Konversi volume (ml) Natrium Tiosulfat 0,1 N yang didapat ke mg Gula</v>
      </c>
      <c r="D95" s="74" t="str">
        <f>D72</f>
        <v>belum terkonversi</v>
      </c>
      <c r="F95" s="22" t="s">
        <v>137</v>
      </c>
      <c r="G95" s="141" t="str">
        <f>C95</f>
        <v>Konversi volume (ml) Natrium Tiosulfat 0,1 N yang didapat ke mg Gula</v>
      </c>
      <c r="H95" s="141"/>
      <c r="I95" s="69" t="s">
        <v>107</v>
      </c>
      <c r="J95" s="75" t="str">
        <f>C96</f>
        <v>Faktor Pengenceran</v>
      </c>
      <c r="K95" s="5" t="s">
        <v>140</v>
      </c>
      <c r="L95" s="5"/>
    </row>
    <row r="96" spans="2:14" ht="20.149999999999999" customHeight="1" x14ac:dyDescent="0.35">
      <c r="B96" s="1">
        <v>2</v>
      </c>
      <c r="C96" s="53" t="s">
        <v>36</v>
      </c>
      <c r="D96" s="1">
        <v>0</v>
      </c>
      <c r="G96" s="117" t="str">
        <f>C97</f>
        <v>Massa Sampel (mg)</v>
      </c>
      <c r="H96" s="117"/>
      <c r="I96" s="117"/>
      <c r="J96" s="117"/>
      <c r="K96" s="113"/>
      <c r="L96" s="5"/>
    </row>
    <row r="97" spans="2:15" ht="20.149999999999999" customHeight="1" x14ac:dyDescent="0.35">
      <c r="B97" s="1">
        <v>3</v>
      </c>
      <c r="C97" s="2" t="s">
        <v>43</v>
      </c>
      <c r="D97" s="4">
        <v>0</v>
      </c>
      <c r="F97" s="5"/>
      <c r="G97" s="5"/>
      <c r="H97" s="5"/>
      <c r="I97" s="5"/>
      <c r="J97" s="5"/>
      <c r="K97" s="5"/>
      <c r="L97" s="5"/>
    </row>
    <row r="98" spans="2:15" ht="20.149999999999999" customHeight="1" x14ac:dyDescent="0.35">
      <c r="B98" s="124" t="s">
        <v>87</v>
      </c>
      <c r="C98" s="125"/>
      <c r="D98" s="126"/>
      <c r="F98" s="22" t="s">
        <v>17</v>
      </c>
      <c r="G98" s="69" t="str">
        <f>D95</f>
        <v>belum terkonversi</v>
      </c>
      <c r="H98" s="69" t="s">
        <v>107</v>
      </c>
      <c r="I98" s="69">
        <f>D96</f>
        <v>0</v>
      </c>
      <c r="J98" s="13" t="s">
        <v>140</v>
      </c>
      <c r="K98" s="13"/>
      <c r="L98" s="5"/>
    </row>
    <row r="99" spans="2:15" ht="20.149999999999999" customHeight="1" x14ac:dyDescent="0.35">
      <c r="B99" s="31">
        <v>1</v>
      </c>
      <c r="C99" s="31" t="s">
        <v>143</v>
      </c>
      <c r="D99" s="76" t="str">
        <f>G104</f>
        <v>0%</v>
      </c>
      <c r="F99" s="5"/>
      <c r="G99" s="138">
        <f>D97</f>
        <v>0</v>
      </c>
      <c r="H99" s="138"/>
      <c r="I99" s="138"/>
      <c r="J99" s="139"/>
      <c r="K99" s="5"/>
      <c r="L99" s="5"/>
    </row>
    <row r="100" spans="2:15" ht="20.149999999999999" customHeight="1" x14ac:dyDescent="0.35">
      <c r="B100" s="5"/>
      <c r="C100" s="5"/>
      <c r="D100" s="5"/>
      <c r="F100" s="5"/>
      <c r="G100" s="5"/>
      <c r="H100" s="5"/>
      <c r="I100" s="5"/>
      <c r="J100" s="5"/>
      <c r="K100" s="5"/>
      <c r="L100" s="5"/>
    </row>
    <row r="101" spans="2:15" ht="20.149999999999999" customHeight="1" x14ac:dyDescent="0.35">
      <c r="B101" s="5"/>
      <c r="C101" s="5"/>
      <c r="D101" s="5"/>
      <c r="F101" s="22" t="s">
        <v>17</v>
      </c>
      <c r="G101" s="69">
        <f>PRODUCT(G98:I98)</f>
        <v>0</v>
      </c>
      <c r="H101" s="13" t="s">
        <v>140</v>
      </c>
      <c r="I101" s="5"/>
      <c r="J101" s="5"/>
      <c r="K101" s="5"/>
      <c r="L101" s="5"/>
    </row>
    <row r="102" spans="2:15" ht="20.149999999999999" customHeight="1" x14ac:dyDescent="0.35">
      <c r="B102" s="5"/>
      <c r="C102" s="5"/>
      <c r="D102" s="5"/>
      <c r="F102" s="22"/>
      <c r="G102" s="70">
        <f>G99</f>
        <v>0</v>
      </c>
      <c r="H102" s="5"/>
      <c r="I102" s="5"/>
      <c r="J102" s="5"/>
      <c r="K102" s="5"/>
      <c r="L102" s="5"/>
    </row>
    <row r="103" spans="2:15" ht="20.149999999999999" customHeight="1" x14ac:dyDescent="0.35">
      <c r="B103" s="5"/>
      <c r="C103" s="5"/>
      <c r="D103" s="5"/>
      <c r="F103" s="22"/>
      <c r="G103" s="13"/>
      <c r="H103" s="5"/>
      <c r="I103" s="5"/>
      <c r="J103" s="5"/>
      <c r="K103" s="5"/>
      <c r="L103" s="5"/>
    </row>
    <row r="104" spans="2:15" ht="20.149999999999999" customHeight="1" x14ac:dyDescent="0.35">
      <c r="B104" s="5"/>
      <c r="C104" s="5"/>
      <c r="D104" s="5"/>
      <c r="F104" s="22" t="s">
        <v>137</v>
      </c>
      <c r="G104" s="29" t="str">
        <f>IFERROR(G101/G102,"0%")</f>
        <v>0%</v>
      </c>
      <c r="H104" s="5"/>
      <c r="I104" s="5"/>
      <c r="J104" s="5"/>
      <c r="K104" s="5"/>
      <c r="L104" s="5"/>
    </row>
    <row r="105" spans="2:15" ht="20.149999999999999" customHeight="1" x14ac:dyDescent="0.35">
      <c r="B105" s="5"/>
      <c r="C105" s="5"/>
      <c r="D105" s="5"/>
      <c r="F105" s="22"/>
      <c r="G105" s="13"/>
      <c r="H105" s="5"/>
      <c r="I105" s="5"/>
      <c r="J105" s="5"/>
      <c r="K105" s="5"/>
      <c r="L105" s="5"/>
    </row>
    <row r="106" spans="2:15" ht="20.149999999999999" customHeight="1" x14ac:dyDescent="0.35">
      <c r="B106" s="5"/>
      <c r="C106" s="5"/>
      <c r="D106" s="5"/>
      <c r="F106" s="22"/>
      <c r="G106" s="13"/>
      <c r="H106" s="5"/>
      <c r="I106" s="5"/>
      <c r="J106" s="5"/>
      <c r="K106" s="5"/>
      <c r="L106" s="5"/>
    </row>
    <row r="107" spans="2:15" ht="20.149999999999999" customHeight="1" x14ac:dyDescent="0.35">
      <c r="B107" s="5"/>
      <c r="C107" s="5"/>
      <c r="D107" s="5"/>
      <c r="G107" s="13"/>
      <c r="H107" s="5"/>
      <c r="I107" s="5"/>
      <c r="J107" s="5"/>
      <c r="K107" s="5"/>
      <c r="L107" s="5"/>
    </row>
    <row r="108" spans="2:15" ht="20.149999999999999" customHeight="1" x14ac:dyDescent="0.35">
      <c r="B108" s="5"/>
      <c r="C108" s="5"/>
      <c r="D108" s="5"/>
      <c r="G108" s="136" t="s">
        <v>141</v>
      </c>
      <c r="H108" s="136"/>
      <c r="I108" s="136"/>
      <c r="J108" s="136"/>
      <c r="K108" s="5"/>
      <c r="L108" s="5"/>
    </row>
    <row r="109" spans="2:15" ht="20.149999999999999" customHeight="1" x14ac:dyDescent="0.35">
      <c r="B109" s="51" t="s">
        <v>5</v>
      </c>
      <c r="C109" s="51" t="s">
        <v>32</v>
      </c>
      <c r="D109" s="51" t="s">
        <v>86</v>
      </c>
      <c r="G109" s="5"/>
      <c r="H109" s="5"/>
      <c r="I109" s="5"/>
      <c r="J109" s="5"/>
      <c r="K109" s="5"/>
      <c r="L109" s="5"/>
    </row>
    <row r="110" spans="2:15" ht="20.149999999999999" customHeight="1" x14ac:dyDescent="0.35">
      <c r="B110" s="1">
        <v>1</v>
      </c>
      <c r="C110" s="79" t="str">
        <f>C99</f>
        <v>% Glukosa</v>
      </c>
      <c r="D110" s="76" t="str">
        <f>D99</f>
        <v>0%</v>
      </c>
      <c r="F110" s="22" t="s">
        <v>142</v>
      </c>
      <c r="G110" s="13" t="str">
        <f>C110</f>
        <v>% Glukosa</v>
      </c>
      <c r="H110" s="13" t="s">
        <v>107</v>
      </c>
      <c r="I110" s="13" t="str">
        <f>C112</f>
        <v>Faktor Konversi</v>
      </c>
      <c r="J110" s="13"/>
      <c r="K110" s="13"/>
      <c r="L110" s="13"/>
      <c r="M110" s="13"/>
      <c r="N110" s="13"/>
      <c r="O110" s="13"/>
    </row>
    <row r="111" spans="2:15" ht="20.149999999999999" customHeight="1" x14ac:dyDescent="0.35">
      <c r="B111" s="1">
        <v>2</v>
      </c>
      <c r="C111" s="79" t="s">
        <v>144</v>
      </c>
      <c r="D111" s="74" t="s">
        <v>4</v>
      </c>
      <c r="G111" s="13"/>
      <c r="H111" s="13" t="s">
        <v>4</v>
      </c>
      <c r="I111" s="13" t="s">
        <v>4</v>
      </c>
      <c r="J111" s="13"/>
      <c r="K111" s="13"/>
      <c r="L111" s="13"/>
      <c r="M111" s="13"/>
      <c r="N111" s="13"/>
      <c r="O111" s="13"/>
    </row>
    <row r="112" spans="2:15" ht="20.149999999999999" customHeight="1" x14ac:dyDescent="0.35">
      <c r="B112" s="1">
        <v>3</v>
      </c>
      <c r="C112" s="79" t="s">
        <v>53</v>
      </c>
      <c r="D112" s="74" t="str">
        <f>IFERROR(VLOOKUP(D111,C121:D122,2,TRUE),"0")</f>
        <v>0</v>
      </c>
      <c r="F112" s="22" t="s">
        <v>17</v>
      </c>
      <c r="G112" s="77" t="str">
        <f>D110</f>
        <v>0%</v>
      </c>
      <c r="H112" s="13" t="s">
        <v>107</v>
      </c>
      <c r="I112" s="13" t="str">
        <f>D112</f>
        <v>0</v>
      </c>
      <c r="J112" s="13"/>
      <c r="K112" s="13"/>
      <c r="L112" s="13"/>
      <c r="M112" s="13"/>
      <c r="N112" s="13"/>
      <c r="O112" s="13"/>
    </row>
    <row r="113" spans="2:15" ht="20.149999999999999" customHeight="1" x14ac:dyDescent="0.35">
      <c r="B113" s="124" t="s">
        <v>87</v>
      </c>
      <c r="C113" s="125"/>
      <c r="D113" s="126"/>
      <c r="E113" s="5"/>
      <c r="F113" s="5"/>
      <c r="G113" s="13"/>
      <c r="H113" s="116" t="s">
        <v>4</v>
      </c>
      <c r="I113" s="116"/>
      <c r="J113" s="116"/>
      <c r="K113" s="116"/>
      <c r="L113" s="116"/>
      <c r="M113" s="116"/>
      <c r="N113" s="116"/>
      <c r="O113" s="116"/>
    </row>
    <row r="114" spans="2:15" ht="20.149999999999999" customHeight="1" x14ac:dyDescent="0.35">
      <c r="B114" s="74">
        <v>1</v>
      </c>
      <c r="C114" s="31" t="s">
        <v>147</v>
      </c>
      <c r="D114" s="76">
        <f>G114</f>
        <v>0</v>
      </c>
      <c r="E114" s="5"/>
      <c r="F114" s="22" t="s">
        <v>142</v>
      </c>
      <c r="G114" s="13">
        <f>IFERROR(PRODUCT(G112:I112),"0%")</f>
        <v>0</v>
      </c>
      <c r="H114" s="13"/>
      <c r="I114" s="13"/>
      <c r="J114" s="13"/>
      <c r="K114" s="13"/>
      <c r="L114" s="13"/>
      <c r="M114" s="13"/>
      <c r="N114" s="13"/>
      <c r="O114" s="13"/>
    </row>
    <row r="115" spans="2:15" ht="20.149999999999999" customHeight="1" x14ac:dyDescent="0.35">
      <c r="B115" s="5"/>
      <c r="C115" s="78"/>
      <c r="D115" s="13"/>
      <c r="E115" s="5"/>
      <c r="F115" s="5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2:15" ht="20.149999999999999" customHeight="1" x14ac:dyDescent="0.35">
      <c r="B116" s="5"/>
      <c r="C116" s="7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2:15" ht="20.149999999999999" customHeight="1" x14ac:dyDescent="0.35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2:15" ht="20.149999999999999" customHeight="1" x14ac:dyDescent="0.35">
      <c r="B118" s="5"/>
      <c r="C118" s="59" t="s">
        <v>148</v>
      </c>
      <c r="D118" s="5"/>
      <c r="E118" s="8"/>
      <c r="G118" s="5"/>
      <c r="H118" s="5"/>
    </row>
    <row r="119" spans="2:15" ht="20.149999999999999" customHeight="1" x14ac:dyDescent="0.35">
      <c r="B119" s="5"/>
      <c r="D119" s="18"/>
      <c r="E119" s="5"/>
      <c r="G119" s="5"/>
      <c r="H119" s="5"/>
    </row>
    <row r="120" spans="2:15" ht="20.149999999999999" customHeight="1" x14ac:dyDescent="0.35">
      <c r="B120" s="51" t="s">
        <v>5</v>
      </c>
      <c r="C120" s="52" t="s">
        <v>144</v>
      </c>
      <c r="D120" s="52" t="s">
        <v>53</v>
      </c>
      <c r="E120" s="5"/>
      <c r="G120" s="5"/>
      <c r="H120" s="5"/>
    </row>
    <row r="121" spans="2:15" ht="20.149999999999999" customHeight="1" x14ac:dyDescent="0.35">
      <c r="B121" s="74">
        <v>1</v>
      </c>
      <c r="C121" s="31" t="s">
        <v>145</v>
      </c>
      <c r="D121" s="74">
        <v>0.9</v>
      </c>
      <c r="E121" s="5"/>
      <c r="G121" s="5"/>
      <c r="H121" s="5"/>
    </row>
    <row r="122" spans="2:15" ht="20.149999999999999" customHeight="1" x14ac:dyDescent="0.35">
      <c r="B122" s="74">
        <v>2</v>
      </c>
      <c r="C122" s="31" t="s">
        <v>146</v>
      </c>
      <c r="D122" s="74">
        <v>0.95</v>
      </c>
    </row>
    <row r="126" spans="2:15" ht="20.149999999999999" customHeight="1" x14ac:dyDescent="0.4">
      <c r="B126" s="140" t="s">
        <v>150</v>
      </c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</row>
    <row r="129" spans="2:14" ht="20.149999999999999" customHeight="1" x14ac:dyDescent="0.3">
      <c r="B129" s="136" t="s">
        <v>138</v>
      </c>
      <c r="C129" s="136"/>
      <c r="D129" s="136"/>
      <c r="E129" s="136"/>
      <c r="F129" s="136"/>
      <c r="G129" s="136"/>
      <c r="H129" s="136"/>
      <c r="I129" s="48"/>
    </row>
    <row r="131" spans="2:14" ht="20.149999999999999" customHeight="1" x14ac:dyDescent="0.3">
      <c r="F131" s="33" t="s">
        <v>4</v>
      </c>
    </row>
    <row r="132" spans="2:14" ht="20.149999999999999" customHeight="1" x14ac:dyDescent="0.3">
      <c r="B132" s="51" t="s">
        <v>5</v>
      </c>
      <c r="C132" s="51" t="s">
        <v>32</v>
      </c>
      <c r="D132" s="51" t="s">
        <v>86</v>
      </c>
      <c r="F132" s="33" t="s">
        <v>4</v>
      </c>
      <c r="G132" s="81" t="s">
        <v>151</v>
      </c>
      <c r="H132" s="81" t="s">
        <v>152</v>
      </c>
      <c r="I132" s="33" t="s">
        <v>4</v>
      </c>
      <c r="J132" s="72"/>
      <c r="K132" s="72"/>
      <c r="L132" s="72"/>
      <c r="M132" s="72"/>
      <c r="N132" s="72"/>
    </row>
    <row r="133" spans="2:14" ht="20.149999999999999" customHeight="1" x14ac:dyDescent="0.3">
      <c r="B133" s="1">
        <v>1</v>
      </c>
      <c r="C133" s="2" t="s">
        <v>134</v>
      </c>
      <c r="D133" s="4">
        <v>12.3345</v>
      </c>
      <c r="G133" s="81">
        <f>VLOOKUP(G134,C148:F169,1,TRUE)</f>
        <v>12</v>
      </c>
      <c r="H133" s="81">
        <f>VLOOKUP(G133,C148:F169,2,TRUE)</f>
        <v>30.3</v>
      </c>
    </row>
    <row r="134" spans="2:14" ht="20.149999999999999" customHeight="1" x14ac:dyDescent="0.35">
      <c r="B134" s="124" t="s">
        <v>87</v>
      </c>
      <c r="C134" s="125"/>
      <c r="D134" s="126"/>
      <c r="G134" s="82">
        <f>D133</f>
        <v>12.3345</v>
      </c>
      <c r="H134" s="81" t="s">
        <v>12</v>
      </c>
    </row>
    <row r="135" spans="2:14" ht="20.149999999999999" customHeight="1" x14ac:dyDescent="0.35">
      <c r="B135" s="1">
        <v>2</v>
      </c>
      <c r="C135" s="31" t="s">
        <v>139</v>
      </c>
      <c r="D135" s="74" t="str">
        <f>IFERROR(VLOOKUP(D134,H163:K186,2,TRUE),"belum terkonversi")</f>
        <v>belum terkonversi</v>
      </c>
      <c r="G135" s="81">
        <f>G133+1</f>
        <v>13</v>
      </c>
      <c r="H135" s="81">
        <f>VLOOKUP(G135,C148:F169,2,FALSE)</f>
        <v>33</v>
      </c>
    </row>
    <row r="136" spans="2:14" ht="20.149999999999999" customHeight="1" x14ac:dyDescent="0.3">
      <c r="G136" s="80"/>
      <c r="H136" s="80"/>
    </row>
    <row r="137" spans="2:14" ht="20.149999999999999" customHeight="1" x14ac:dyDescent="0.3">
      <c r="G137" s="85" t="s">
        <v>153</v>
      </c>
      <c r="H137" s="86" t="s">
        <v>155</v>
      </c>
    </row>
    <row r="138" spans="2:14" ht="20.149999999999999" customHeight="1" x14ac:dyDescent="0.3">
      <c r="G138" s="80" t="s">
        <v>154</v>
      </c>
      <c r="H138" s="33" t="s">
        <v>156</v>
      </c>
    </row>
    <row r="140" spans="2:14" ht="20.149999999999999" customHeight="1" x14ac:dyDescent="0.3">
      <c r="G140" s="85">
        <f>G135-G133</f>
        <v>1</v>
      </c>
      <c r="H140" s="85">
        <f>H135-H133</f>
        <v>2.6999999999999993</v>
      </c>
    </row>
    <row r="141" spans="2:14" ht="20.149999999999999" customHeight="1" x14ac:dyDescent="0.3">
      <c r="G141" s="87">
        <f>G134-G133</f>
        <v>0.33450000000000024</v>
      </c>
      <c r="H141" s="80" t="str">
        <f>-H135&amp;"X"</f>
        <v>-33X</v>
      </c>
    </row>
    <row r="145" spans="3:7" ht="20.149999999999999" customHeight="1" x14ac:dyDescent="0.3">
      <c r="C145" s="137" t="s">
        <v>125</v>
      </c>
      <c r="D145" s="137"/>
      <c r="E145" s="137"/>
      <c r="F145" s="137"/>
    </row>
    <row r="146" spans="3:7" ht="20.149999999999999" customHeight="1" x14ac:dyDescent="0.35">
      <c r="C146" s="5"/>
      <c r="D146" s="5"/>
      <c r="E146" s="5"/>
    </row>
    <row r="147" spans="3:7" ht="20.149999999999999" customHeight="1" x14ac:dyDescent="0.3">
      <c r="C147" s="51" t="s">
        <v>129</v>
      </c>
      <c r="D147" s="51" t="s">
        <v>126</v>
      </c>
      <c r="E147" s="51" t="s">
        <v>127</v>
      </c>
      <c r="F147" s="51" t="s">
        <v>128</v>
      </c>
    </row>
    <row r="148" spans="3:7" ht="20.149999999999999" customHeight="1" x14ac:dyDescent="0.3">
      <c r="C148" s="1">
        <v>1</v>
      </c>
      <c r="D148" s="50">
        <v>2.4</v>
      </c>
      <c r="E148" s="50">
        <v>3.6</v>
      </c>
      <c r="F148" s="50">
        <v>3.9</v>
      </c>
    </row>
    <row r="149" spans="3:7" ht="20.149999999999999" customHeight="1" x14ac:dyDescent="0.3">
      <c r="C149" s="1">
        <v>2</v>
      </c>
      <c r="D149" s="50">
        <v>4.8</v>
      </c>
      <c r="E149" s="50">
        <v>7.3</v>
      </c>
      <c r="F149" s="50">
        <v>7.8</v>
      </c>
    </row>
    <row r="150" spans="3:7" ht="20.149999999999999" customHeight="1" x14ac:dyDescent="0.3">
      <c r="C150" s="1">
        <v>3</v>
      </c>
      <c r="D150" s="50">
        <v>7.2</v>
      </c>
      <c r="E150" s="50">
        <v>11</v>
      </c>
      <c r="F150" s="50">
        <v>11.7</v>
      </c>
    </row>
    <row r="151" spans="3:7" ht="20.149999999999999" customHeight="1" x14ac:dyDescent="0.3">
      <c r="C151" s="1">
        <v>5</v>
      </c>
      <c r="D151" s="50">
        <v>12.2</v>
      </c>
      <c r="E151" s="50">
        <v>18.399999999999999</v>
      </c>
      <c r="F151" s="50">
        <v>19.600000000000001</v>
      </c>
    </row>
    <row r="152" spans="3:7" ht="20.149999999999999" customHeight="1" x14ac:dyDescent="0.3">
      <c r="C152" s="1">
        <v>6</v>
      </c>
      <c r="D152" s="50">
        <v>14.7</v>
      </c>
      <c r="E152" s="50">
        <v>22.1</v>
      </c>
      <c r="F152" s="50">
        <v>23.5</v>
      </c>
    </row>
    <row r="153" spans="3:7" ht="20.149999999999999" customHeight="1" x14ac:dyDescent="0.3">
      <c r="C153" s="1">
        <v>7</v>
      </c>
      <c r="D153" s="50">
        <v>17.2</v>
      </c>
      <c r="E153" s="50">
        <v>25.8</v>
      </c>
      <c r="F153" s="50">
        <v>25.5</v>
      </c>
    </row>
    <row r="154" spans="3:7" ht="20.149999999999999" customHeight="1" x14ac:dyDescent="0.3">
      <c r="C154" s="1">
        <v>8</v>
      </c>
      <c r="D154" s="50">
        <v>19.8</v>
      </c>
      <c r="E154" s="50">
        <v>29.5</v>
      </c>
      <c r="F154" s="50">
        <v>31.5</v>
      </c>
    </row>
    <row r="155" spans="3:7" ht="20.149999999999999" customHeight="1" x14ac:dyDescent="0.3">
      <c r="C155" s="1">
        <v>9</v>
      </c>
      <c r="D155" s="50">
        <v>22.4</v>
      </c>
      <c r="E155" s="50">
        <v>33.200000000000003</v>
      </c>
      <c r="F155" s="50">
        <v>35.5</v>
      </c>
    </row>
    <row r="156" spans="3:7" ht="20.149999999999999" customHeight="1" x14ac:dyDescent="0.3">
      <c r="C156" s="1">
        <v>10</v>
      </c>
      <c r="D156" s="50">
        <v>25</v>
      </c>
      <c r="E156" s="50">
        <v>37</v>
      </c>
      <c r="F156" s="50">
        <v>39.5</v>
      </c>
    </row>
    <row r="157" spans="3:7" ht="20.149999999999999" customHeight="1" x14ac:dyDescent="0.3">
      <c r="C157" s="1">
        <v>11</v>
      </c>
      <c r="D157" s="50">
        <v>27.6</v>
      </c>
      <c r="E157" s="50">
        <v>40.799999999999997</v>
      </c>
      <c r="F157" s="50">
        <v>43.5</v>
      </c>
    </row>
    <row r="158" spans="3:7" ht="20.149999999999999" customHeight="1" x14ac:dyDescent="0.3">
      <c r="C158" s="1">
        <v>12</v>
      </c>
      <c r="D158" s="50">
        <v>30.3</v>
      </c>
      <c r="E158" s="50">
        <v>44.6</v>
      </c>
      <c r="F158" s="50">
        <v>47.5</v>
      </c>
    </row>
    <row r="159" spans="3:7" ht="20.149999999999999" customHeight="1" x14ac:dyDescent="0.35">
      <c r="C159" s="1">
        <v>13</v>
      </c>
      <c r="D159" s="50">
        <v>33</v>
      </c>
      <c r="E159" s="50">
        <v>48.6</v>
      </c>
      <c r="F159" s="50">
        <v>51.6</v>
      </c>
      <c r="G159" s="5"/>
    </row>
    <row r="160" spans="3:7" ht="20.149999999999999" customHeight="1" x14ac:dyDescent="0.35">
      <c r="C160" s="1">
        <v>14</v>
      </c>
      <c r="D160" s="50">
        <v>35.700000000000003</v>
      </c>
      <c r="E160" s="50">
        <v>52.2</v>
      </c>
      <c r="F160" s="50">
        <v>55.7</v>
      </c>
      <c r="G160" s="5"/>
    </row>
    <row r="161" spans="2:7" ht="20.149999999999999" customHeight="1" x14ac:dyDescent="0.35">
      <c r="B161" s="5"/>
      <c r="C161" s="1">
        <v>15</v>
      </c>
      <c r="D161" s="50">
        <v>38.5</v>
      </c>
      <c r="E161" s="50">
        <v>56</v>
      </c>
      <c r="F161" s="50">
        <v>59.8</v>
      </c>
      <c r="G161" s="5"/>
    </row>
    <row r="162" spans="2:7" ht="20.149999999999999" customHeight="1" x14ac:dyDescent="0.35">
      <c r="C162" s="1">
        <v>16</v>
      </c>
      <c r="D162" s="50">
        <v>41.3</v>
      </c>
      <c r="E162" s="50">
        <v>59.9</v>
      </c>
      <c r="F162" s="50">
        <v>63.9</v>
      </c>
      <c r="G162" s="5"/>
    </row>
    <row r="163" spans="2:7" ht="20.149999999999999" customHeight="1" x14ac:dyDescent="0.3">
      <c r="C163" s="1">
        <v>17</v>
      </c>
      <c r="D163" s="50">
        <v>44.2</v>
      </c>
      <c r="E163" s="50">
        <v>63.8</v>
      </c>
      <c r="F163" s="50">
        <v>68</v>
      </c>
    </row>
    <row r="164" spans="2:7" ht="20.149999999999999" customHeight="1" x14ac:dyDescent="0.3">
      <c r="C164" s="1">
        <v>18</v>
      </c>
      <c r="D164" s="50">
        <v>47.1</v>
      </c>
      <c r="E164" s="50">
        <v>67.7</v>
      </c>
      <c r="F164" s="50">
        <v>72.2</v>
      </c>
    </row>
    <row r="165" spans="2:7" ht="20.149999999999999" customHeight="1" x14ac:dyDescent="0.3">
      <c r="C165" s="1">
        <v>19</v>
      </c>
      <c r="D165" s="50">
        <v>50</v>
      </c>
      <c r="E165" s="50">
        <v>71.099999999999994</v>
      </c>
      <c r="F165" s="50">
        <v>76.5</v>
      </c>
    </row>
    <row r="166" spans="2:7" ht="20.149999999999999" customHeight="1" x14ac:dyDescent="0.35">
      <c r="B166" s="5"/>
      <c r="C166" s="1">
        <v>20</v>
      </c>
      <c r="D166" s="50">
        <v>53</v>
      </c>
      <c r="E166" s="50">
        <v>75.099999999999994</v>
      </c>
      <c r="F166" s="50">
        <v>80.900000000000006</v>
      </c>
    </row>
    <row r="167" spans="2:7" ht="20.149999999999999" customHeight="1" x14ac:dyDescent="0.35">
      <c r="B167" s="5"/>
      <c r="C167" s="1">
        <v>21</v>
      </c>
      <c r="D167" s="50">
        <v>56</v>
      </c>
      <c r="E167" s="50">
        <v>79.8</v>
      </c>
      <c r="F167" s="50">
        <v>85.4</v>
      </c>
    </row>
    <row r="168" spans="2:7" ht="20.149999999999999" customHeight="1" x14ac:dyDescent="0.35">
      <c r="B168" s="5"/>
      <c r="C168" s="1">
        <v>22</v>
      </c>
      <c r="D168" s="50">
        <v>59.1</v>
      </c>
      <c r="E168" s="50">
        <v>83.9</v>
      </c>
      <c r="F168" s="50">
        <v>90</v>
      </c>
    </row>
    <row r="169" spans="2:7" ht="20.149999999999999" customHeight="1" x14ac:dyDescent="0.35">
      <c r="B169" s="5"/>
      <c r="C169" s="1">
        <v>23</v>
      </c>
      <c r="D169" s="50">
        <v>62.2</v>
      </c>
      <c r="E169" s="50">
        <v>88</v>
      </c>
      <c r="F169" s="50">
        <v>94.6</v>
      </c>
    </row>
    <row r="170" spans="2:7" ht="20.149999999999999" customHeight="1" x14ac:dyDescent="0.35">
      <c r="B170" s="5"/>
    </row>
    <row r="171" spans="2:7" ht="20.149999999999999" customHeight="1" x14ac:dyDescent="0.35">
      <c r="B171" s="5"/>
      <c r="G171" s="5"/>
    </row>
    <row r="172" spans="2:7" ht="20.149999999999999" customHeight="1" x14ac:dyDescent="0.35">
      <c r="B172" s="5"/>
      <c r="G172" s="5"/>
    </row>
    <row r="173" spans="2:7" ht="20.149999999999999" customHeight="1" x14ac:dyDescent="0.35">
      <c r="B173" s="5"/>
      <c r="G173" s="5"/>
    </row>
    <row r="174" spans="2:7" ht="20.149999999999999" customHeight="1" x14ac:dyDescent="0.35">
      <c r="B174" s="5" t="s">
        <v>4</v>
      </c>
      <c r="C174" s="5"/>
      <c r="D174" s="5"/>
      <c r="G174" s="5"/>
    </row>
    <row r="175" spans="2:7" ht="20.149999999999999" customHeight="1" x14ac:dyDescent="0.35">
      <c r="B175" s="5"/>
      <c r="C175" s="5"/>
      <c r="D175" s="5"/>
      <c r="G175" s="5"/>
    </row>
    <row r="176" spans="2:7" ht="20.149999999999999" customHeight="1" x14ac:dyDescent="0.35">
      <c r="B176" s="5"/>
      <c r="C176" s="5"/>
      <c r="D176" s="5"/>
      <c r="G176" s="5"/>
    </row>
    <row r="177" spans="2:14" ht="20.149999999999999" customHeight="1" x14ac:dyDescent="0.35">
      <c r="B177" s="5"/>
      <c r="G177" s="5"/>
    </row>
    <row r="178" spans="2:14" ht="20.149999999999999" customHeight="1" x14ac:dyDescent="0.35">
      <c r="B178" s="5"/>
      <c r="G178" s="5"/>
    </row>
    <row r="179" spans="2:14" ht="20.149999999999999" customHeight="1" x14ac:dyDescent="0.35">
      <c r="G179" s="5"/>
    </row>
    <row r="180" spans="2:14" ht="20.149999999999999" customHeight="1" x14ac:dyDescent="0.35">
      <c r="G180" s="5"/>
    </row>
    <row r="181" spans="2:14" ht="20.149999999999999" customHeight="1" x14ac:dyDescent="0.35">
      <c r="G181" s="5"/>
    </row>
    <row r="182" spans="2:14" ht="20.149999999999999" customHeight="1" x14ac:dyDescent="0.35">
      <c r="G182" s="5"/>
    </row>
    <row r="183" spans="2:14" ht="20.149999999999999" customHeight="1" x14ac:dyDescent="0.35">
      <c r="G183" s="5"/>
    </row>
    <row r="186" spans="2:14" ht="20.149999999999999" customHeight="1" x14ac:dyDescent="0.3">
      <c r="G186" s="48" t="s">
        <v>136</v>
      </c>
      <c r="H186" s="48"/>
      <c r="I186" s="48"/>
      <c r="J186" s="48"/>
      <c r="K186" s="72"/>
      <c r="L186" s="72"/>
      <c r="M186" s="72"/>
      <c r="N186" s="72"/>
    </row>
    <row r="187" spans="2:14" ht="20.149999999999999" customHeight="1" x14ac:dyDescent="0.35">
      <c r="B187" s="51" t="s">
        <v>5</v>
      </c>
      <c r="C187" s="51" t="s">
        <v>32</v>
      </c>
      <c r="D187" s="51" t="s">
        <v>86</v>
      </c>
      <c r="G187" s="5"/>
    </row>
    <row r="188" spans="2:14" ht="20.149999999999999" customHeight="1" x14ac:dyDescent="0.35">
      <c r="B188" s="1">
        <v>1</v>
      </c>
      <c r="C188" s="31" t="str">
        <f>C135</f>
        <v>Konversi volume (ml) Natrium Tiosulfat 0,1 N yang didapat ke mg Gula</v>
      </c>
      <c r="D188" s="74" t="str">
        <f>D135</f>
        <v>belum terkonversi</v>
      </c>
      <c r="F188" s="22" t="s">
        <v>137</v>
      </c>
      <c r="G188" s="69" t="str">
        <f>C188</f>
        <v>Konversi volume (ml) Natrium Tiosulfat 0,1 N yang didapat ke mg Gula</v>
      </c>
      <c r="H188" s="69"/>
      <c r="I188" s="69" t="s">
        <v>107</v>
      </c>
      <c r="J188" s="75" t="str">
        <f>C189</f>
        <v>Faktor Pengenceran</v>
      </c>
      <c r="K188" s="5" t="s">
        <v>140</v>
      </c>
      <c r="L188" s="5"/>
    </row>
    <row r="189" spans="2:14" ht="20.149999999999999" customHeight="1" x14ac:dyDescent="0.35">
      <c r="B189" s="1">
        <v>2</v>
      </c>
      <c r="C189" s="53" t="s">
        <v>36</v>
      </c>
      <c r="D189" s="1">
        <v>0</v>
      </c>
      <c r="G189" s="64" t="str">
        <f>C190</f>
        <v>Massa Sampel (mg)</v>
      </c>
      <c r="H189" s="64"/>
      <c r="I189" s="64"/>
      <c r="J189" s="64"/>
      <c r="K189" s="13"/>
      <c r="L189" s="5"/>
    </row>
    <row r="190" spans="2:14" ht="20.149999999999999" customHeight="1" x14ac:dyDescent="0.35">
      <c r="B190" s="1">
        <v>3</v>
      </c>
      <c r="C190" s="2" t="s">
        <v>43</v>
      </c>
      <c r="D190" s="4">
        <v>0</v>
      </c>
      <c r="F190" s="5"/>
      <c r="G190" s="5"/>
      <c r="H190" s="5"/>
      <c r="I190" s="5"/>
      <c r="J190" s="5"/>
      <c r="K190" s="5"/>
      <c r="L190" s="5"/>
    </row>
    <row r="191" spans="2:14" ht="20.149999999999999" customHeight="1" x14ac:dyDescent="0.35">
      <c r="B191" s="60" t="s">
        <v>87</v>
      </c>
      <c r="C191" s="61"/>
      <c r="D191" s="62"/>
      <c r="F191" s="22" t="s">
        <v>17</v>
      </c>
      <c r="G191" s="69" t="str">
        <f>D188</f>
        <v>belum terkonversi</v>
      </c>
      <c r="H191" s="69" t="s">
        <v>107</v>
      </c>
      <c r="I191" s="69">
        <f>D189</f>
        <v>0</v>
      </c>
      <c r="J191" s="13" t="s">
        <v>140</v>
      </c>
      <c r="K191" s="13"/>
      <c r="L191" s="5"/>
    </row>
    <row r="192" spans="2:14" ht="20.149999999999999" customHeight="1" x14ac:dyDescent="0.35">
      <c r="B192" s="31">
        <v>1</v>
      </c>
      <c r="C192" s="31" t="s">
        <v>143</v>
      </c>
      <c r="D192" s="76" t="str">
        <f>G197</f>
        <v>0%</v>
      </c>
      <c r="F192" s="5"/>
      <c r="G192" s="68">
        <f>D190</f>
        <v>0</v>
      </c>
      <c r="H192" s="68"/>
      <c r="I192" s="68"/>
      <c r="J192" s="70"/>
      <c r="K192" s="5"/>
      <c r="L192" s="5"/>
    </row>
    <row r="193" spans="2:15" ht="20.149999999999999" customHeight="1" x14ac:dyDescent="0.35">
      <c r="B193" s="5"/>
      <c r="C193" s="5"/>
      <c r="D193" s="5"/>
      <c r="F193" s="5"/>
      <c r="G193" s="5"/>
      <c r="H193" s="5"/>
      <c r="I193" s="5"/>
      <c r="J193" s="5"/>
      <c r="K193" s="5"/>
      <c r="L193" s="5"/>
    </row>
    <row r="194" spans="2:15" ht="20.149999999999999" customHeight="1" x14ac:dyDescent="0.35">
      <c r="B194" s="5"/>
      <c r="C194" s="5"/>
      <c r="D194" s="5"/>
      <c r="F194" s="22" t="s">
        <v>17</v>
      </c>
      <c r="G194" s="69">
        <f>PRODUCT(G191:I191)</f>
        <v>0</v>
      </c>
      <c r="H194" s="13" t="s">
        <v>140</v>
      </c>
      <c r="I194" s="5"/>
      <c r="J194" s="5"/>
      <c r="K194" s="5"/>
      <c r="L194" s="5"/>
    </row>
    <row r="195" spans="2:15" ht="20.149999999999999" customHeight="1" x14ac:dyDescent="0.35">
      <c r="B195" s="5"/>
      <c r="C195" s="5"/>
      <c r="D195" s="5"/>
      <c r="F195" s="22"/>
      <c r="G195" s="70">
        <f>G192</f>
        <v>0</v>
      </c>
      <c r="H195" s="5"/>
      <c r="I195" s="5"/>
      <c r="J195" s="5"/>
      <c r="K195" s="5"/>
      <c r="L195" s="5"/>
    </row>
    <row r="196" spans="2:15" ht="20.149999999999999" customHeight="1" x14ac:dyDescent="0.35">
      <c r="B196" s="5"/>
      <c r="C196" s="5"/>
      <c r="D196" s="5"/>
      <c r="F196" s="22"/>
      <c r="G196" s="13"/>
      <c r="H196" s="5"/>
      <c r="I196" s="5"/>
      <c r="J196" s="5"/>
      <c r="K196" s="5"/>
      <c r="L196" s="5"/>
    </row>
    <row r="197" spans="2:15" ht="20.149999999999999" customHeight="1" x14ac:dyDescent="0.35">
      <c r="B197" s="5"/>
      <c r="C197" s="5"/>
      <c r="D197" s="5"/>
      <c r="F197" s="22" t="s">
        <v>137</v>
      </c>
      <c r="G197" s="29" t="str">
        <f>IFERROR(G194/G195,"0%")</f>
        <v>0%</v>
      </c>
      <c r="H197" s="5"/>
      <c r="I197" s="5"/>
      <c r="J197" s="5"/>
      <c r="K197" s="5"/>
      <c r="L197" s="5"/>
    </row>
    <row r="198" spans="2:15" ht="20.149999999999999" customHeight="1" x14ac:dyDescent="0.35">
      <c r="B198" s="5"/>
      <c r="C198" s="5"/>
      <c r="D198" s="5"/>
      <c r="F198" s="22"/>
      <c r="G198" s="13"/>
      <c r="H198" s="5"/>
      <c r="I198" s="5"/>
      <c r="J198" s="5"/>
      <c r="K198" s="5"/>
      <c r="L198" s="5"/>
    </row>
    <row r="199" spans="2:15" ht="20.149999999999999" customHeight="1" x14ac:dyDescent="0.35">
      <c r="B199" s="5"/>
      <c r="C199" s="5"/>
      <c r="D199" s="5"/>
      <c r="F199" s="22"/>
      <c r="G199" s="13"/>
      <c r="H199" s="5"/>
      <c r="I199" s="5"/>
      <c r="J199" s="5"/>
      <c r="K199" s="5"/>
      <c r="L199" s="5"/>
    </row>
    <row r="200" spans="2:15" ht="20.149999999999999" customHeight="1" x14ac:dyDescent="0.35">
      <c r="B200" s="5"/>
      <c r="C200" s="5"/>
      <c r="D200" s="5"/>
      <c r="G200" s="13"/>
      <c r="H200" s="5"/>
      <c r="I200" s="5"/>
      <c r="J200" s="5"/>
      <c r="K200" s="5"/>
      <c r="L200" s="5"/>
    </row>
    <row r="201" spans="2:15" ht="20.149999999999999" customHeight="1" x14ac:dyDescent="0.35">
      <c r="B201" s="5"/>
      <c r="C201" s="5"/>
      <c r="D201" s="5"/>
      <c r="G201" s="48" t="s">
        <v>141</v>
      </c>
      <c r="H201" s="48"/>
      <c r="I201" s="48"/>
      <c r="J201" s="48"/>
      <c r="K201" s="5"/>
      <c r="L201" s="5"/>
    </row>
    <row r="202" spans="2:15" ht="20.149999999999999" customHeight="1" x14ac:dyDescent="0.35">
      <c r="B202" s="51" t="s">
        <v>5</v>
      </c>
      <c r="C202" s="51" t="s">
        <v>32</v>
      </c>
      <c r="D202" s="51" t="s">
        <v>86</v>
      </c>
      <c r="G202" s="5"/>
      <c r="H202" s="5"/>
      <c r="I202" s="5"/>
      <c r="J202" s="5"/>
      <c r="K202" s="5"/>
      <c r="L202" s="5"/>
    </row>
    <row r="203" spans="2:15" ht="20.149999999999999" customHeight="1" x14ac:dyDescent="0.35">
      <c r="B203" s="1">
        <v>1</v>
      </c>
      <c r="C203" s="79" t="str">
        <f>C192</f>
        <v>% Glukosa</v>
      </c>
      <c r="D203" s="76" t="str">
        <f>D192</f>
        <v>0%</v>
      </c>
      <c r="F203" s="22" t="s">
        <v>142</v>
      </c>
      <c r="G203" s="13" t="str">
        <f>C203</f>
        <v>% Glukosa</v>
      </c>
      <c r="H203" s="13" t="s">
        <v>107</v>
      </c>
      <c r="I203" s="13" t="str">
        <f>C205</f>
        <v>Faktor Konversi</v>
      </c>
      <c r="J203" s="13"/>
      <c r="K203" s="13"/>
      <c r="L203" s="13"/>
      <c r="M203" s="13"/>
      <c r="N203" s="13"/>
      <c r="O203" s="13"/>
    </row>
    <row r="204" spans="2:15" ht="20.149999999999999" customHeight="1" x14ac:dyDescent="0.35">
      <c r="B204" s="1">
        <v>2</v>
      </c>
      <c r="C204" s="79" t="s">
        <v>144</v>
      </c>
      <c r="D204" s="74" t="s">
        <v>4</v>
      </c>
      <c r="G204" s="13"/>
      <c r="H204" s="13" t="s">
        <v>4</v>
      </c>
      <c r="I204" s="13" t="s">
        <v>4</v>
      </c>
      <c r="J204" s="13"/>
      <c r="K204" s="13"/>
      <c r="L204" s="13"/>
      <c r="M204" s="13"/>
      <c r="N204" s="13"/>
      <c r="O204" s="13"/>
    </row>
    <row r="205" spans="2:15" ht="20.149999999999999" customHeight="1" x14ac:dyDescent="0.35">
      <c r="B205" s="1">
        <v>3</v>
      </c>
      <c r="C205" s="79" t="s">
        <v>53</v>
      </c>
      <c r="D205" s="74" t="str">
        <f>IFERROR(VLOOKUP(D204,C217:D218,2,TRUE),"0")</f>
        <v>0</v>
      </c>
      <c r="F205" s="22" t="s">
        <v>17</v>
      </c>
      <c r="G205" s="77" t="str">
        <f>D203</f>
        <v>0%</v>
      </c>
      <c r="H205" s="13" t="s">
        <v>107</v>
      </c>
      <c r="I205" s="13" t="str">
        <f>D205</f>
        <v>0</v>
      </c>
      <c r="J205" s="13"/>
      <c r="K205" s="13"/>
      <c r="L205" s="13"/>
      <c r="M205" s="13"/>
      <c r="N205" s="13"/>
      <c r="O205" s="13"/>
    </row>
    <row r="206" spans="2:15" ht="20.149999999999999" customHeight="1" x14ac:dyDescent="0.35">
      <c r="B206" s="60" t="s">
        <v>87</v>
      </c>
      <c r="C206" s="61"/>
      <c r="D206" s="62"/>
      <c r="E206" s="5"/>
      <c r="F206" s="5"/>
      <c r="G206" s="13"/>
      <c r="H206" s="58" t="s">
        <v>4</v>
      </c>
      <c r="I206" s="58"/>
      <c r="J206" s="58"/>
      <c r="K206" s="58"/>
      <c r="L206" s="58"/>
      <c r="M206" s="58"/>
      <c r="N206" s="58"/>
      <c r="O206" s="58"/>
    </row>
    <row r="207" spans="2:15" ht="20.149999999999999" customHeight="1" x14ac:dyDescent="0.35">
      <c r="B207" s="74">
        <v>1</v>
      </c>
      <c r="C207" s="31" t="s">
        <v>147</v>
      </c>
      <c r="D207" s="76">
        <f>G207</f>
        <v>0</v>
      </c>
      <c r="E207" s="5"/>
      <c r="F207" s="22" t="s">
        <v>142</v>
      </c>
      <c r="G207" s="13">
        <f>IFERROR(PRODUCT(G205:I205),"0%")</f>
        <v>0</v>
      </c>
      <c r="H207" s="13"/>
      <c r="I207" s="13"/>
      <c r="J207" s="13"/>
      <c r="K207" s="13"/>
      <c r="L207" s="13"/>
      <c r="M207" s="13"/>
      <c r="N207" s="13"/>
      <c r="O207" s="13"/>
    </row>
    <row r="208" spans="2:15" ht="20.149999999999999" customHeight="1" x14ac:dyDescent="0.35">
      <c r="B208" s="5"/>
      <c r="C208" s="78"/>
      <c r="D208" s="13"/>
      <c r="E208" s="5"/>
      <c r="F208" s="5"/>
      <c r="G208" s="13"/>
      <c r="H208" s="13"/>
      <c r="I208" s="13"/>
      <c r="J208" s="13"/>
      <c r="K208" s="13"/>
      <c r="L208" s="13"/>
      <c r="M208" s="13"/>
      <c r="N208" s="13"/>
      <c r="O208" s="13"/>
    </row>
    <row r="209" spans="2:15" ht="20.149999999999999" customHeight="1" x14ac:dyDescent="0.35">
      <c r="B209" s="5"/>
      <c r="C209" s="7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2:15" ht="20.149999999999999" customHeight="1" x14ac:dyDescent="0.35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2:15" ht="20.149999999999999" customHeight="1" x14ac:dyDescent="0.35">
      <c r="E211" s="8"/>
      <c r="G211" s="5"/>
      <c r="H211" s="5"/>
    </row>
    <row r="212" spans="2:15" ht="20.149999999999999" customHeight="1" x14ac:dyDescent="0.35">
      <c r="E212" s="5"/>
      <c r="G212" s="5"/>
      <c r="H212" s="5"/>
    </row>
    <row r="213" spans="2:15" ht="20.149999999999999" customHeight="1" x14ac:dyDescent="0.35">
      <c r="E213" s="5"/>
      <c r="G213" s="5"/>
      <c r="H213" s="5"/>
    </row>
    <row r="214" spans="2:15" ht="20.149999999999999" customHeight="1" x14ac:dyDescent="0.35">
      <c r="B214" s="5"/>
      <c r="C214" s="59" t="s">
        <v>148</v>
      </c>
      <c r="D214" s="5"/>
      <c r="E214" s="5"/>
      <c r="G214" s="5"/>
      <c r="H214" s="5"/>
    </row>
    <row r="215" spans="2:15" ht="20.149999999999999" customHeight="1" x14ac:dyDescent="0.35">
      <c r="B215" s="5"/>
      <c r="D215" s="18"/>
    </row>
    <row r="216" spans="2:15" ht="20.149999999999999" customHeight="1" x14ac:dyDescent="0.35">
      <c r="B216" s="51" t="s">
        <v>5</v>
      </c>
      <c r="C216" s="52" t="s">
        <v>144</v>
      </c>
      <c r="D216" s="52" t="s">
        <v>53</v>
      </c>
    </row>
    <row r="217" spans="2:15" ht="20.149999999999999" customHeight="1" x14ac:dyDescent="0.35">
      <c r="B217" s="74">
        <v>1</v>
      </c>
      <c r="C217" s="31" t="s">
        <v>145</v>
      </c>
      <c r="D217" s="74">
        <v>0.9</v>
      </c>
    </row>
    <row r="218" spans="2:15" ht="20.149999999999999" customHeight="1" x14ac:dyDescent="0.35">
      <c r="B218" s="74">
        <v>2</v>
      </c>
      <c r="C218" s="31" t="s">
        <v>146</v>
      </c>
      <c r="D218" s="74">
        <v>0.95</v>
      </c>
    </row>
    <row r="221" spans="2:15" ht="20.149999999999999" customHeight="1" x14ac:dyDescent="0.3">
      <c r="C221" s="33" t="s">
        <v>157</v>
      </c>
    </row>
  </sheetData>
  <mergeCells count="40">
    <mergeCell ref="B134:D134"/>
    <mergeCell ref="B129:H129"/>
    <mergeCell ref="B35:B36"/>
    <mergeCell ref="D35:D36"/>
    <mergeCell ref="C35:C36"/>
    <mergeCell ref="G35:G36"/>
    <mergeCell ref="H35:H36"/>
    <mergeCell ref="H54:J54"/>
    <mergeCell ref="G93:J93"/>
    <mergeCell ref="G95:H95"/>
    <mergeCell ref="F50:G50"/>
    <mergeCell ref="C145:F145"/>
    <mergeCell ref="B41:H41"/>
    <mergeCell ref="B44:F44"/>
    <mergeCell ref="B55:D55"/>
    <mergeCell ref="G96:K96"/>
    <mergeCell ref="G99:J99"/>
    <mergeCell ref="B98:D98"/>
    <mergeCell ref="H113:O113"/>
    <mergeCell ref="B61:L61"/>
    <mergeCell ref="B64:I64"/>
    <mergeCell ref="B71:D71"/>
    <mergeCell ref="H65:K65"/>
    <mergeCell ref="F48:M48"/>
    <mergeCell ref="G108:J108"/>
    <mergeCell ref="B113:D113"/>
    <mergeCell ref="B126:L126"/>
    <mergeCell ref="B3:N5"/>
    <mergeCell ref="B10:B11"/>
    <mergeCell ref="C10:C11"/>
    <mergeCell ref="D10:D11"/>
    <mergeCell ref="E10:F10"/>
    <mergeCell ref="G10:G11"/>
    <mergeCell ref="H10:H11"/>
    <mergeCell ref="E18:I18"/>
    <mergeCell ref="B37:H37"/>
    <mergeCell ref="B40:F40"/>
    <mergeCell ref="B14:F14"/>
    <mergeCell ref="E35:F35"/>
    <mergeCell ref="B23:D23"/>
  </mergeCells>
  <pageMargins left="0.7" right="0.7" top="0.75" bottom="0.75" header="0.3" footer="0.3"/>
  <pageSetup paperSize="9" scale="1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224"/>
  <sheetViews>
    <sheetView showGridLines="0" view="pageBreakPreview" topLeftCell="A176" zoomScale="40" zoomScaleNormal="10" zoomScaleSheetLayoutView="40" zoomScalePageLayoutView="46" workbookViewId="0">
      <selection activeCell="L20" sqref="L20"/>
    </sheetView>
  </sheetViews>
  <sheetFormatPr defaultColWidth="9.1796875" defaultRowHeight="20.149999999999999" customHeight="1" x14ac:dyDescent="0.3"/>
  <cols>
    <col min="1" max="2" width="9.1796875" style="33"/>
    <col min="3" max="3" width="76.26953125" style="33" customWidth="1"/>
    <col min="4" max="4" width="39.81640625" style="33" customWidth="1"/>
    <col min="5" max="5" width="14.7265625" style="33" customWidth="1"/>
    <col min="6" max="6" width="16.81640625" style="33" customWidth="1"/>
    <col min="7" max="7" width="39.453125" style="33" bestFit="1" customWidth="1"/>
    <col min="8" max="8" width="46.81640625" style="33" customWidth="1"/>
    <col min="9" max="9" width="39.81640625" style="33" bestFit="1" customWidth="1"/>
    <col min="10" max="10" width="50.54296875" style="33" bestFit="1" customWidth="1"/>
    <col min="11" max="11" width="9.7265625" style="33" bestFit="1" customWidth="1"/>
    <col min="12" max="16384" width="9.1796875" style="33"/>
  </cols>
  <sheetData>
    <row r="2" spans="2:14" ht="20.149999999999999" customHeight="1" thickBot="1" x14ac:dyDescent="0.35"/>
    <row r="3" spans="2:14" ht="20.149999999999999" customHeight="1" x14ac:dyDescent="0.3">
      <c r="B3" s="104" t="s">
        <v>110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6"/>
    </row>
    <row r="4" spans="2:14" ht="20.149999999999999" customHeight="1" x14ac:dyDescent="0.3">
      <c r="B4" s="107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</row>
    <row r="5" spans="2:14" ht="20.149999999999999" customHeight="1" thickBot="1" x14ac:dyDescent="0.35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</row>
    <row r="6" spans="2:14" ht="20.149999999999999" customHeight="1" x14ac:dyDescent="0.3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ht="20.149999999999999" customHeight="1" x14ac:dyDescent="0.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 ht="20.149999999999999" customHeight="1" x14ac:dyDescent="0.4">
      <c r="B8" s="63" t="s">
        <v>114</v>
      </c>
      <c r="N8" s="8"/>
    </row>
    <row r="9" spans="2:14" ht="20.149999999999999" customHeight="1" x14ac:dyDescent="0.35">
      <c r="N9" s="5"/>
    </row>
    <row r="10" spans="2:14" ht="20.149999999999999" customHeight="1" x14ac:dyDescent="0.35">
      <c r="B10" s="120" t="s">
        <v>5</v>
      </c>
      <c r="C10" s="120" t="s">
        <v>92</v>
      </c>
      <c r="D10" s="120" t="s">
        <v>93</v>
      </c>
      <c r="E10" s="122" t="s">
        <v>94</v>
      </c>
      <c r="F10" s="123"/>
      <c r="G10" s="120" t="s">
        <v>95</v>
      </c>
      <c r="H10" s="120" t="s">
        <v>31</v>
      </c>
      <c r="J10" s="5"/>
      <c r="N10" s="5"/>
    </row>
    <row r="11" spans="2:14" ht="20.149999999999999" customHeight="1" x14ac:dyDescent="0.35">
      <c r="B11" s="121"/>
      <c r="C11" s="121"/>
      <c r="D11" s="121"/>
      <c r="E11" s="51" t="s">
        <v>33</v>
      </c>
      <c r="F11" s="51" t="s">
        <v>34</v>
      </c>
      <c r="G11" s="121"/>
      <c r="H11" s="121"/>
      <c r="J11" s="5"/>
      <c r="N11" s="5"/>
    </row>
    <row r="12" spans="2:14" ht="20.149999999999999" customHeight="1" x14ac:dyDescent="0.35">
      <c r="B12" s="1">
        <v>1</v>
      </c>
      <c r="C12" s="1" t="s">
        <v>103</v>
      </c>
      <c r="D12" s="1" t="s">
        <v>96</v>
      </c>
      <c r="E12" s="50">
        <v>0</v>
      </c>
      <c r="F12" s="50">
        <v>0</v>
      </c>
      <c r="G12" s="50">
        <f>F12-E12</f>
        <v>0</v>
      </c>
      <c r="H12" s="1" t="s">
        <v>4</v>
      </c>
      <c r="J12" s="5"/>
      <c r="N12" s="5"/>
    </row>
    <row r="13" spans="2:14" ht="20.149999999999999" customHeight="1" x14ac:dyDescent="0.35">
      <c r="B13" s="1">
        <v>2</v>
      </c>
      <c r="C13" s="1" t="s">
        <v>104</v>
      </c>
      <c r="D13" s="53"/>
      <c r="E13" s="50">
        <v>0</v>
      </c>
      <c r="F13" s="50">
        <v>0</v>
      </c>
      <c r="G13" s="50">
        <f t="shared" ref="G13" si="0">F13-E13</f>
        <v>0</v>
      </c>
      <c r="H13" s="53"/>
      <c r="J13" s="5"/>
      <c r="N13" s="5"/>
    </row>
    <row r="14" spans="2:14" ht="20.149999999999999" customHeight="1" x14ac:dyDescent="0.35">
      <c r="B14" s="130" t="s">
        <v>97</v>
      </c>
      <c r="C14" s="131"/>
      <c r="D14" s="131"/>
      <c r="E14" s="131"/>
      <c r="F14" s="132"/>
      <c r="G14" s="21">
        <f>AVERAGE(G12:G13)</f>
        <v>0</v>
      </c>
      <c r="H14" s="53"/>
      <c r="J14" s="5"/>
      <c r="N14" s="5"/>
    </row>
    <row r="15" spans="2:14" ht="20.149999999999999" customHeight="1" x14ac:dyDescent="0.35">
      <c r="B15" s="5"/>
      <c r="C15" s="5"/>
      <c r="D15" s="5"/>
      <c r="E15" s="5"/>
      <c r="F15" s="5"/>
      <c r="G15" s="5"/>
      <c r="H15" s="5"/>
      <c r="J15" s="5"/>
      <c r="N15" s="5"/>
    </row>
    <row r="16" spans="2:14" ht="20.149999999999999" customHeight="1" x14ac:dyDescent="0.35">
      <c r="B16" s="5"/>
      <c r="C16" s="5"/>
      <c r="D16" s="5"/>
      <c r="E16" s="5"/>
      <c r="F16" s="5"/>
      <c r="G16" s="5"/>
      <c r="H16" s="5"/>
      <c r="I16" s="5"/>
      <c r="J16" s="5"/>
      <c r="N16" s="5"/>
    </row>
    <row r="17" spans="2:14" ht="20.149999999999999" customHeight="1" x14ac:dyDescent="0.35">
      <c r="I17" s="5"/>
      <c r="J17" s="5"/>
      <c r="N17" s="5"/>
    </row>
    <row r="18" spans="2:14" ht="20.149999999999999" customHeight="1" x14ac:dyDescent="0.35">
      <c r="E18" s="133" t="s">
        <v>98</v>
      </c>
      <c r="F18" s="133"/>
      <c r="G18" s="133"/>
      <c r="H18" s="133"/>
      <c r="I18" s="133"/>
      <c r="J18" s="71"/>
      <c r="K18" s="71"/>
      <c r="L18" s="71"/>
      <c r="M18" s="71"/>
      <c r="N18" s="5"/>
    </row>
    <row r="19" spans="2:14" ht="20.149999999999999" customHeight="1" x14ac:dyDescent="0.35">
      <c r="B19" s="57" t="s">
        <v>5</v>
      </c>
      <c r="C19" s="51" t="s">
        <v>32</v>
      </c>
      <c r="D19" s="51" t="s">
        <v>86</v>
      </c>
      <c r="E19" s="8"/>
      <c r="F19" s="8"/>
      <c r="G19" s="8"/>
      <c r="H19" s="8"/>
      <c r="I19" s="54"/>
      <c r="J19" s="54"/>
      <c r="K19" s="54"/>
      <c r="N19" s="5"/>
    </row>
    <row r="20" spans="2:14" ht="20.149999999999999" customHeight="1" x14ac:dyDescent="0.35">
      <c r="B20" s="1">
        <v>1</v>
      </c>
      <c r="C20" s="2" t="s">
        <v>93</v>
      </c>
      <c r="D20" s="1">
        <v>0</v>
      </c>
      <c r="E20" s="8"/>
      <c r="F20" s="8" t="s">
        <v>99</v>
      </c>
      <c r="G20" s="7" t="str">
        <f>C20</f>
        <v>Volume Y (ml)</v>
      </c>
      <c r="H20" s="7" t="s">
        <v>106</v>
      </c>
      <c r="I20" s="7" t="str">
        <f>C21</f>
        <v>Konsentrasi Y</v>
      </c>
      <c r="J20" s="8"/>
      <c r="K20" s="8"/>
      <c r="N20" s="5"/>
    </row>
    <row r="21" spans="2:14" ht="20.149999999999999" customHeight="1" x14ac:dyDescent="0.35">
      <c r="B21" s="1">
        <v>2</v>
      </c>
      <c r="C21" s="2" t="s">
        <v>116</v>
      </c>
      <c r="D21" s="1">
        <v>0</v>
      </c>
      <c r="E21" s="8"/>
      <c r="F21" s="8" t="s">
        <v>4</v>
      </c>
      <c r="G21" s="8" t="s">
        <v>101</v>
      </c>
      <c r="H21" s="8"/>
      <c r="I21" s="8"/>
      <c r="J21" s="8" t="s">
        <v>4</v>
      </c>
      <c r="K21" s="8" t="s">
        <v>4</v>
      </c>
      <c r="N21" s="5"/>
    </row>
    <row r="22" spans="2:14" ht="20.149999999999999" customHeight="1" x14ac:dyDescent="0.35">
      <c r="B22" s="1">
        <v>3</v>
      </c>
      <c r="C22" s="2" t="s">
        <v>149</v>
      </c>
      <c r="D22" s="21">
        <f>G14</f>
        <v>0</v>
      </c>
      <c r="E22" s="8"/>
      <c r="F22" s="8"/>
      <c r="G22" s="8"/>
      <c r="H22" s="8"/>
      <c r="I22" s="8"/>
      <c r="J22" s="8"/>
      <c r="K22" s="8"/>
      <c r="N22" s="5"/>
    </row>
    <row r="23" spans="2:14" ht="20.149999999999999" customHeight="1" x14ac:dyDescent="0.35">
      <c r="B23" s="122" t="s">
        <v>87</v>
      </c>
      <c r="C23" s="135"/>
      <c r="D23" s="123"/>
      <c r="E23" s="8"/>
      <c r="J23" s="8"/>
      <c r="K23" s="8"/>
      <c r="N23" s="5"/>
    </row>
    <row r="24" spans="2:14" ht="20.149999999999999" customHeight="1" x14ac:dyDescent="0.35">
      <c r="B24" s="1">
        <v>1</v>
      </c>
      <c r="C24" s="55" t="s">
        <v>102</v>
      </c>
      <c r="D24" s="56" t="str">
        <f>G30</f>
        <v>0</v>
      </c>
      <c r="E24" s="8"/>
      <c r="F24" s="6" t="s">
        <v>17</v>
      </c>
      <c r="G24" s="7">
        <f>D20</f>
        <v>0</v>
      </c>
      <c r="H24" s="7" t="s">
        <v>107</v>
      </c>
      <c r="I24" s="7">
        <f>D21</f>
        <v>0</v>
      </c>
      <c r="J24" s="8"/>
      <c r="K24" s="8"/>
      <c r="N24" s="5"/>
    </row>
    <row r="25" spans="2:14" ht="20.149999999999999" customHeight="1" x14ac:dyDescent="0.35">
      <c r="B25" s="8"/>
      <c r="C25" s="8"/>
      <c r="D25" s="8"/>
      <c r="E25" s="8"/>
      <c r="F25" s="6"/>
      <c r="G25" s="49">
        <f>D22</f>
        <v>0</v>
      </c>
      <c r="H25" s="49"/>
      <c r="I25" s="49"/>
      <c r="J25" s="8"/>
      <c r="K25" s="8"/>
      <c r="N25" s="5"/>
    </row>
    <row r="26" spans="2:14" ht="20.149999999999999" customHeight="1" x14ac:dyDescent="0.35">
      <c r="B26" s="8"/>
      <c r="C26" s="8"/>
      <c r="D26" s="8"/>
      <c r="E26" s="8"/>
      <c r="F26" s="6"/>
      <c r="G26" s="8"/>
      <c r="H26" s="8"/>
      <c r="I26" s="8"/>
      <c r="J26" s="8"/>
      <c r="K26" s="8"/>
      <c r="N26" s="5"/>
    </row>
    <row r="27" spans="2:14" ht="20.149999999999999" customHeight="1" x14ac:dyDescent="0.35">
      <c r="B27" s="8" t="s">
        <v>109</v>
      </c>
      <c r="C27" s="8" t="s">
        <v>117</v>
      </c>
      <c r="D27" s="8"/>
      <c r="E27" s="8"/>
      <c r="F27" s="6" t="s">
        <v>17</v>
      </c>
      <c r="G27" s="7">
        <f>G24*I24</f>
        <v>0</v>
      </c>
      <c r="H27" s="8"/>
      <c r="I27" s="8"/>
      <c r="J27" s="8"/>
      <c r="K27" s="8"/>
      <c r="N27" s="5"/>
    </row>
    <row r="28" spans="2:14" ht="20.149999999999999" customHeight="1" x14ac:dyDescent="0.35">
      <c r="B28" s="8" t="s">
        <v>108</v>
      </c>
      <c r="C28" s="8" t="s">
        <v>115</v>
      </c>
      <c r="D28" s="14"/>
      <c r="E28" s="8" t="s">
        <v>4</v>
      </c>
      <c r="F28" s="8"/>
      <c r="G28" s="49">
        <f>G25</f>
        <v>0</v>
      </c>
      <c r="H28" s="8"/>
      <c r="I28" s="8" t="s">
        <v>4</v>
      </c>
      <c r="J28" s="8"/>
      <c r="K28" s="8"/>
      <c r="N28" s="5"/>
    </row>
    <row r="29" spans="2:14" ht="20.149999999999999" customHeight="1" x14ac:dyDescent="0.3">
      <c r="B29" s="14"/>
      <c r="C29" s="14"/>
      <c r="D29" s="14"/>
      <c r="E29" s="8"/>
      <c r="F29" s="8"/>
      <c r="G29" s="8"/>
      <c r="H29" s="8"/>
      <c r="I29" s="8"/>
      <c r="J29" s="8"/>
      <c r="K29" s="8"/>
    </row>
    <row r="30" spans="2:14" ht="20.149999999999999" customHeight="1" x14ac:dyDescent="0.3">
      <c r="F30" s="8" t="s">
        <v>99</v>
      </c>
      <c r="G30" s="12" t="str">
        <f>IFERROR(G27/G28,"0")</f>
        <v>0</v>
      </c>
      <c r="H30" s="8"/>
      <c r="I30" s="8"/>
      <c r="J30" s="8"/>
      <c r="K30" s="8"/>
    </row>
    <row r="33" spans="2:13" ht="20.149999999999999" customHeight="1" x14ac:dyDescent="0.4">
      <c r="B33" s="63" t="s">
        <v>112</v>
      </c>
    </row>
    <row r="35" spans="2:13" ht="20.149999999999999" customHeight="1" x14ac:dyDescent="0.3">
      <c r="B35" s="120" t="s">
        <v>5</v>
      </c>
      <c r="C35" s="120" t="s">
        <v>28</v>
      </c>
      <c r="D35" s="120" t="s">
        <v>45</v>
      </c>
      <c r="E35" s="122" t="s">
        <v>29</v>
      </c>
      <c r="F35" s="123"/>
      <c r="G35" s="120" t="s">
        <v>30</v>
      </c>
      <c r="H35" s="120" t="s">
        <v>31</v>
      </c>
    </row>
    <row r="36" spans="2:13" ht="20.149999999999999" customHeight="1" x14ac:dyDescent="0.3">
      <c r="B36" s="121"/>
      <c r="C36" s="121"/>
      <c r="D36" s="121"/>
      <c r="E36" s="51" t="s">
        <v>33</v>
      </c>
      <c r="F36" s="51" t="s">
        <v>34</v>
      </c>
      <c r="G36" s="121"/>
      <c r="H36" s="121"/>
    </row>
    <row r="37" spans="2:13" ht="20.149999999999999" customHeight="1" x14ac:dyDescent="0.3">
      <c r="B37" s="127" t="s">
        <v>38</v>
      </c>
      <c r="C37" s="128"/>
      <c r="D37" s="128"/>
      <c r="E37" s="128"/>
      <c r="F37" s="128"/>
      <c r="G37" s="128"/>
      <c r="H37" s="129"/>
    </row>
    <row r="38" spans="2:13" ht="20.149999999999999" customHeight="1" x14ac:dyDescent="0.3">
      <c r="B38" s="1">
        <v>1</v>
      </c>
      <c r="C38" s="1" t="s">
        <v>103</v>
      </c>
      <c r="D38" s="50">
        <v>0</v>
      </c>
      <c r="E38" s="50">
        <v>0</v>
      </c>
      <c r="F38" s="50">
        <v>0</v>
      </c>
      <c r="G38" s="50">
        <f>F38-E38</f>
        <v>0</v>
      </c>
      <c r="H38" s="1"/>
    </row>
    <row r="39" spans="2:13" ht="20.149999999999999" customHeight="1" x14ac:dyDescent="0.3">
      <c r="B39" s="1">
        <v>2</v>
      </c>
      <c r="C39" s="1" t="s">
        <v>104</v>
      </c>
      <c r="D39" s="50">
        <v>0</v>
      </c>
      <c r="E39" s="50">
        <v>0</v>
      </c>
      <c r="F39" s="50">
        <v>0</v>
      </c>
      <c r="G39" s="50">
        <f>F39-E39</f>
        <v>0</v>
      </c>
      <c r="H39" s="1"/>
    </row>
    <row r="40" spans="2:13" ht="20.149999999999999" customHeight="1" x14ac:dyDescent="0.3">
      <c r="B40" s="130" t="s">
        <v>44</v>
      </c>
      <c r="C40" s="131"/>
      <c r="D40" s="131"/>
      <c r="E40" s="131"/>
      <c r="F40" s="132"/>
      <c r="G40" s="21">
        <f>AVERAGE(G38:G39)</f>
        <v>0</v>
      </c>
      <c r="H40" s="1"/>
    </row>
    <row r="41" spans="2:13" ht="20.149999999999999" customHeight="1" x14ac:dyDescent="0.3">
      <c r="B41" s="127" t="s">
        <v>37</v>
      </c>
      <c r="C41" s="128"/>
      <c r="D41" s="128"/>
      <c r="E41" s="128"/>
      <c r="F41" s="128"/>
      <c r="G41" s="128"/>
      <c r="H41" s="129"/>
    </row>
    <row r="42" spans="2:13" ht="20.149999999999999" customHeight="1" x14ac:dyDescent="0.3">
      <c r="B42" s="1">
        <v>1</v>
      </c>
      <c r="C42" s="1" t="s">
        <v>103</v>
      </c>
      <c r="D42" s="50">
        <v>0</v>
      </c>
      <c r="E42" s="50">
        <v>0</v>
      </c>
      <c r="F42" s="50">
        <v>0</v>
      </c>
      <c r="G42" s="50">
        <f>F42-E42</f>
        <v>0</v>
      </c>
      <c r="H42" s="1"/>
    </row>
    <row r="43" spans="2:13" ht="20.149999999999999" customHeight="1" x14ac:dyDescent="0.3">
      <c r="B43" s="1">
        <v>2</v>
      </c>
      <c r="C43" s="1" t="s">
        <v>104</v>
      </c>
      <c r="D43" s="50">
        <v>0</v>
      </c>
      <c r="E43" s="50">
        <v>0</v>
      </c>
      <c r="F43" s="50">
        <v>0</v>
      </c>
      <c r="G43" s="50">
        <f>F43-E43</f>
        <v>0</v>
      </c>
      <c r="H43" s="1"/>
    </row>
    <row r="44" spans="2:13" ht="20.149999999999999" customHeight="1" x14ac:dyDescent="0.3">
      <c r="B44" s="130" t="s">
        <v>39</v>
      </c>
      <c r="C44" s="131"/>
      <c r="D44" s="131"/>
      <c r="E44" s="131"/>
      <c r="F44" s="132"/>
      <c r="G44" s="21">
        <f>AVERAGE(G38:G39)</f>
        <v>0</v>
      </c>
      <c r="H44" s="1"/>
    </row>
    <row r="45" spans="2:13" ht="20.149999999999999" customHeight="1" x14ac:dyDescent="0.3">
      <c r="B45" s="33" t="s">
        <v>122</v>
      </c>
      <c r="C45" s="8" t="s">
        <v>117</v>
      </c>
    </row>
    <row r="48" spans="2:13" ht="20.149999999999999" customHeight="1" x14ac:dyDescent="0.3">
      <c r="F48" s="136" t="s">
        <v>113</v>
      </c>
      <c r="G48" s="136"/>
      <c r="H48" s="136"/>
      <c r="I48" s="136"/>
      <c r="J48" s="136"/>
      <c r="K48" s="136"/>
      <c r="L48" s="136"/>
      <c r="M48" s="136"/>
    </row>
    <row r="49" spans="2:14" ht="20.149999999999999" customHeight="1" x14ac:dyDescent="0.3">
      <c r="B49" s="51" t="s">
        <v>5</v>
      </c>
      <c r="C49" s="51" t="s">
        <v>32</v>
      </c>
      <c r="D49" s="51" t="s">
        <v>86</v>
      </c>
    </row>
    <row r="50" spans="2:14" ht="20.149999999999999" customHeight="1" x14ac:dyDescent="0.3">
      <c r="B50" s="1">
        <v>1</v>
      </c>
      <c r="C50" s="2" t="s">
        <v>130</v>
      </c>
      <c r="D50" s="21">
        <f>G40</f>
        <v>0</v>
      </c>
      <c r="F50" s="142" t="s">
        <v>120</v>
      </c>
      <c r="G50" s="142"/>
      <c r="H50" s="7" t="s">
        <v>121</v>
      </c>
      <c r="I50" s="7" t="s">
        <v>107</v>
      </c>
      <c r="J50" s="7" t="str">
        <f>C53</f>
        <v>Konsentrasi Penitar yang terstandarisasi(N, M)</v>
      </c>
    </row>
    <row r="51" spans="2:14" ht="20.149999999999999" customHeight="1" x14ac:dyDescent="0.35">
      <c r="B51" s="1">
        <v>2</v>
      </c>
      <c r="C51" s="2" t="s">
        <v>131</v>
      </c>
      <c r="D51" s="21">
        <f>G44</f>
        <v>0</v>
      </c>
      <c r="G51" s="22"/>
      <c r="H51" s="5"/>
      <c r="I51" s="5" t="str">
        <f>C54</f>
        <v>Konsentrasi Penitar yang dibuat (N)</v>
      </c>
      <c r="J51" s="5"/>
    </row>
    <row r="52" spans="2:14" ht="20.149999999999999" customHeight="1" x14ac:dyDescent="0.3">
      <c r="B52" s="1">
        <v>3</v>
      </c>
      <c r="C52" s="2" t="s">
        <v>41</v>
      </c>
      <c r="D52" s="1" t="s">
        <v>118</v>
      </c>
    </row>
    <row r="53" spans="2:14" ht="20.149999999999999" customHeight="1" x14ac:dyDescent="0.35">
      <c r="B53" s="1">
        <v>4</v>
      </c>
      <c r="C53" s="2" t="s">
        <v>123</v>
      </c>
      <c r="D53" s="4" t="str">
        <f>G30</f>
        <v>0</v>
      </c>
      <c r="G53" s="22" t="s">
        <v>17</v>
      </c>
      <c r="H53" s="66">
        <f>D50-D51</f>
        <v>0</v>
      </c>
      <c r="I53" s="7" t="s">
        <v>107</v>
      </c>
      <c r="J53" s="67" t="str">
        <f>D53</f>
        <v>0</v>
      </c>
    </row>
    <row r="54" spans="2:14" ht="20.149999999999999" customHeight="1" x14ac:dyDescent="0.35">
      <c r="B54" s="1">
        <v>5</v>
      </c>
      <c r="C54" s="2" t="s">
        <v>124</v>
      </c>
      <c r="D54" s="4">
        <v>0.1</v>
      </c>
      <c r="G54" s="22"/>
      <c r="H54" s="138">
        <f>D54</f>
        <v>0.1</v>
      </c>
      <c r="I54" s="138"/>
      <c r="J54" s="138"/>
    </row>
    <row r="55" spans="2:14" ht="20.149999999999999" customHeight="1" x14ac:dyDescent="0.35">
      <c r="B55" s="124" t="s">
        <v>87</v>
      </c>
      <c r="C55" s="125"/>
      <c r="D55" s="126"/>
      <c r="G55" s="22" t="s">
        <v>17</v>
      </c>
      <c r="H55" s="69">
        <f>PRODUCT(H53:J53)</f>
        <v>0</v>
      </c>
      <c r="I55" s="5"/>
      <c r="J55" s="5"/>
    </row>
    <row r="56" spans="2:14" ht="20.149999999999999" customHeight="1" x14ac:dyDescent="0.35">
      <c r="B56" s="1">
        <v>1</v>
      </c>
      <c r="C56" s="2" t="s">
        <v>119</v>
      </c>
      <c r="D56" s="65">
        <f>H58</f>
        <v>0</v>
      </c>
      <c r="G56" s="5"/>
      <c r="H56" s="70">
        <f>H54</f>
        <v>0.1</v>
      </c>
      <c r="I56" s="5"/>
      <c r="J56" s="5"/>
    </row>
    <row r="57" spans="2:14" ht="20.149999999999999" customHeight="1" x14ac:dyDescent="0.35">
      <c r="G57" s="5"/>
      <c r="H57" s="13"/>
      <c r="I57" s="5"/>
      <c r="J57" s="5"/>
    </row>
    <row r="58" spans="2:14" ht="20.149999999999999" customHeight="1" x14ac:dyDescent="0.35">
      <c r="G58" s="14" t="s">
        <v>120</v>
      </c>
      <c r="H58" s="8">
        <f>IFERROR(H55/H56,"0")</f>
        <v>0</v>
      </c>
      <c r="I58" s="5"/>
      <c r="J58" s="5"/>
    </row>
    <row r="59" spans="2:14" ht="20.149999999999999" customHeight="1" x14ac:dyDescent="0.35">
      <c r="G59" s="5"/>
      <c r="H59" s="13"/>
      <c r="I59" s="5"/>
      <c r="J59" s="5"/>
    </row>
    <row r="61" spans="2:14" ht="20.149999999999999" customHeight="1" x14ac:dyDescent="0.4">
      <c r="B61" s="140" t="s">
        <v>135</v>
      </c>
      <c r="C61" s="140"/>
      <c r="D61" s="140"/>
      <c r="E61" s="140"/>
      <c r="F61" s="140"/>
      <c r="G61" s="140"/>
      <c r="H61" s="140"/>
      <c r="I61" s="140"/>
      <c r="J61" s="140"/>
      <c r="K61" s="140"/>
      <c r="L61" s="140"/>
    </row>
    <row r="63" spans="2:14" ht="20.149999999999999" customHeight="1" x14ac:dyDescent="0.35">
      <c r="F63" s="5"/>
    </row>
    <row r="64" spans="2:14" ht="20.149999999999999" customHeight="1" x14ac:dyDescent="0.3">
      <c r="B64" s="136" t="s">
        <v>138</v>
      </c>
      <c r="C64" s="136"/>
      <c r="D64" s="136"/>
      <c r="E64" s="136"/>
      <c r="F64" s="136"/>
      <c r="G64" s="136"/>
      <c r="H64" s="136"/>
      <c r="I64" s="136"/>
      <c r="J64" s="72"/>
      <c r="K64" s="72"/>
      <c r="L64" s="72"/>
      <c r="M64" s="72"/>
      <c r="N64" s="72"/>
    </row>
    <row r="65" spans="2:11" ht="20.149999999999999" customHeight="1" x14ac:dyDescent="0.3">
      <c r="D65" s="73"/>
      <c r="E65" s="73"/>
      <c r="F65" s="73"/>
      <c r="H65" s="137" t="s">
        <v>125</v>
      </c>
      <c r="I65" s="137"/>
      <c r="J65" s="137"/>
      <c r="K65" s="137"/>
    </row>
    <row r="66" spans="2:11" ht="20.149999999999999" customHeight="1" x14ac:dyDescent="0.35">
      <c r="G66" s="5"/>
      <c r="H66" s="5"/>
      <c r="I66" s="5"/>
      <c r="J66" s="5"/>
    </row>
    <row r="67" spans="2:11" ht="20.149999999999999" customHeight="1" x14ac:dyDescent="0.35">
      <c r="G67" s="5"/>
      <c r="H67" s="51" t="s">
        <v>129</v>
      </c>
      <c r="I67" s="51" t="s">
        <v>126</v>
      </c>
      <c r="J67" s="51" t="s">
        <v>127</v>
      </c>
      <c r="K67" s="51" t="s">
        <v>128</v>
      </c>
    </row>
    <row r="68" spans="2:11" ht="20.149999999999999" customHeight="1" x14ac:dyDescent="0.35">
      <c r="B68" s="5"/>
      <c r="G68" s="5"/>
      <c r="H68" s="1">
        <v>1</v>
      </c>
      <c r="I68" s="50">
        <v>2.4</v>
      </c>
      <c r="J68" s="50">
        <v>3.6</v>
      </c>
      <c r="K68" s="50">
        <v>3.9</v>
      </c>
    </row>
    <row r="69" spans="2:11" ht="20.149999999999999" customHeight="1" x14ac:dyDescent="0.35">
      <c r="B69" s="51" t="s">
        <v>5</v>
      </c>
      <c r="C69" s="51" t="s">
        <v>32</v>
      </c>
      <c r="D69" s="51" t="s">
        <v>86</v>
      </c>
      <c r="G69" s="5"/>
      <c r="H69" s="1">
        <v>2</v>
      </c>
      <c r="I69" s="50">
        <v>4.8</v>
      </c>
      <c r="J69" s="50">
        <v>7.3</v>
      </c>
      <c r="K69" s="50">
        <v>7.8</v>
      </c>
    </row>
    <row r="70" spans="2:11" ht="20.149999999999999" customHeight="1" x14ac:dyDescent="0.3">
      <c r="B70" s="1">
        <v>1</v>
      </c>
      <c r="C70" s="2" t="s">
        <v>134</v>
      </c>
      <c r="D70" s="65" t="s">
        <v>4</v>
      </c>
      <c r="H70" s="1">
        <v>3</v>
      </c>
      <c r="I70" s="50">
        <v>7.2</v>
      </c>
      <c r="J70" s="50">
        <v>11</v>
      </c>
      <c r="K70" s="50">
        <v>11.7</v>
      </c>
    </row>
    <row r="71" spans="2:11" ht="20.149999999999999" customHeight="1" x14ac:dyDescent="0.35">
      <c r="B71" s="124" t="s">
        <v>87</v>
      </c>
      <c r="C71" s="125"/>
      <c r="D71" s="126"/>
      <c r="H71" s="1">
        <v>5</v>
      </c>
      <c r="I71" s="50">
        <v>12.2</v>
      </c>
      <c r="J71" s="50">
        <v>18.399999999999999</v>
      </c>
      <c r="K71" s="50">
        <v>19.600000000000001</v>
      </c>
    </row>
    <row r="72" spans="2:11" ht="20.149999999999999" customHeight="1" x14ac:dyDescent="0.35">
      <c r="B72" s="1">
        <v>2</v>
      </c>
      <c r="C72" s="31" t="s">
        <v>139</v>
      </c>
      <c r="D72" s="74" t="str">
        <f>IFERROR(VLOOKUP(D70,H68:K89,2,FALSE),"belum terkonversi")</f>
        <v>belum terkonversi</v>
      </c>
      <c r="H72" s="1">
        <v>6</v>
      </c>
      <c r="I72" s="50">
        <v>14.7</v>
      </c>
      <c r="J72" s="50">
        <v>22.1</v>
      </c>
      <c r="K72" s="50">
        <v>23.5</v>
      </c>
    </row>
    <row r="73" spans="2:11" ht="20.149999999999999" customHeight="1" x14ac:dyDescent="0.35">
      <c r="B73" s="5"/>
      <c r="C73" s="5"/>
      <c r="D73" s="5"/>
      <c r="H73" s="1">
        <v>7</v>
      </c>
      <c r="I73" s="50">
        <v>17.2</v>
      </c>
      <c r="J73" s="50">
        <v>25.8</v>
      </c>
      <c r="K73" s="50">
        <v>25.5</v>
      </c>
    </row>
    <row r="74" spans="2:11" ht="20.149999999999999" customHeight="1" x14ac:dyDescent="0.35">
      <c r="B74" s="5"/>
      <c r="C74" s="5"/>
      <c r="D74" s="5"/>
      <c r="H74" s="1">
        <v>8</v>
      </c>
      <c r="I74" s="50">
        <v>19.8</v>
      </c>
      <c r="J74" s="50">
        <v>29.5</v>
      </c>
      <c r="K74" s="50">
        <v>31.5</v>
      </c>
    </row>
    <row r="75" spans="2:11" ht="20.149999999999999" customHeight="1" x14ac:dyDescent="0.35">
      <c r="B75" s="5"/>
      <c r="C75" s="5"/>
      <c r="D75" s="5"/>
      <c r="H75" s="1">
        <v>9</v>
      </c>
      <c r="I75" s="50">
        <v>22.4</v>
      </c>
      <c r="J75" s="50">
        <v>33.200000000000003</v>
      </c>
      <c r="K75" s="50">
        <v>35.5</v>
      </c>
    </row>
    <row r="76" spans="2:11" ht="20.149999999999999" customHeight="1" x14ac:dyDescent="0.35">
      <c r="B76" s="5"/>
      <c r="C76" s="5"/>
      <c r="D76" s="5"/>
      <c r="H76" s="1">
        <v>10</v>
      </c>
      <c r="I76" s="50">
        <v>25</v>
      </c>
      <c r="J76" s="50">
        <v>37</v>
      </c>
      <c r="K76" s="50">
        <v>39.5</v>
      </c>
    </row>
    <row r="77" spans="2:11" ht="20.149999999999999" customHeight="1" x14ac:dyDescent="0.35">
      <c r="B77" s="5"/>
      <c r="C77" s="5"/>
      <c r="D77" s="5"/>
      <c r="H77" s="1">
        <v>11</v>
      </c>
      <c r="I77" s="50">
        <v>27.6</v>
      </c>
      <c r="J77" s="50">
        <v>40.799999999999997</v>
      </c>
      <c r="K77" s="50">
        <v>43.5</v>
      </c>
    </row>
    <row r="78" spans="2:11" ht="20.149999999999999" customHeight="1" x14ac:dyDescent="0.35">
      <c r="B78" s="5"/>
      <c r="C78" s="5"/>
      <c r="D78" s="5"/>
      <c r="G78" s="5"/>
      <c r="H78" s="1">
        <v>12</v>
      </c>
      <c r="I78" s="50">
        <v>30.3</v>
      </c>
      <c r="J78" s="50">
        <v>44.6</v>
      </c>
      <c r="K78" s="50">
        <v>47.5</v>
      </c>
    </row>
    <row r="79" spans="2:11" ht="20.149999999999999" customHeight="1" x14ac:dyDescent="0.35">
      <c r="B79" s="5"/>
      <c r="C79" s="5"/>
      <c r="D79" s="5"/>
      <c r="G79" s="5"/>
      <c r="H79" s="1">
        <v>13</v>
      </c>
      <c r="I79" s="50">
        <v>33</v>
      </c>
      <c r="J79" s="50">
        <v>48.6</v>
      </c>
      <c r="K79" s="50">
        <v>51.6</v>
      </c>
    </row>
    <row r="80" spans="2:11" ht="20.149999999999999" customHeight="1" x14ac:dyDescent="0.35">
      <c r="B80" s="5"/>
      <c r="C80" s="5"/>
      <c r="D80" s="5"/>
      <c r="G80" s="5"/>
      <c r="H80" s="1">
        <v>14</v>
      </c>
      <c r="I80" s="50">
        <v>35.700000000000003</v>
      </c>
      <c r="J80" s="50">
        <v>52.2</v>
      </c>
      <c r="K80" s="50">
        <v>55.7</v>
      </c>
    </row>
    <row r="81" spans="2:14" ht="20.149999999999999" customHeight="1" x14ac:dyDescent="0.35">
      <c r="B81" s="5" t="s">
        <v>4</v>
      </c>
      <c r="C81" s="5"/>
      <c r="D81" s="5"/>
      <c r="G81" s="5"/>
      <c r="H81" s="1">
        <v>15</v>
      </c>
      <c r="I81" s="50">
        <v>38.5</v>
      </c>
      <c r="J81" s="50">
        <v>56</v>
      </c>
      <c r="K81" s="50">
        <v>59.8</v>
      </c>
    </row>
    <row r="82" spans="2:14" ht="20.149999999999999" customHeight="1" x14ac:dyDescent="0.35">
      <c r="B82" s="5"/>
      <c r="C82" s="5"/>
      <c r="D82" s="5"/>
      <c r="G82" s="5"/>
      <c r="H82" s="1">
        <v>16</v>
      </c>
      <c r="I82" s="50">
        <v>41.3</v>
      </c>
      <c r="J82" s="50">
        <v>59.9</v>
      </c>
      <c r="K82" s="50">
        <v>63.9</v>
      </c>
    </row>
    <row r="83" spans="2:14" ht="20.149999999999999" customHeight="1" x14ac:dyDescent="0.35">
      <c r="B83" s="5"/>
      <c r="C83" s="5"/>
      <c r="D83" s="5"/>
      <c r="G83" s="5"/>
      <c r="H83" s="1">
        <v>17</v>
      </c>
      <c r="I83" s="50">
        <v>44.2</v>
      </c>
      <c r="J83" s="50">
        <v>63.8</v>
      </c>
      <c r="K83" s="50">
        <v>68</v>
      </c>
    </row>
    <row r="84" spans="2:14" ht="20.149999999999999" customHeight="1" x14ac:dyDescent="0.35">
      <c r="B84" s="5"/>
      <c r="G84" s="5"/>
      <c r="H84" s="1">
        <v>18</v>
      </c>
      <c r="I84" s="50">
        <v>47.1</v>
      </c>
      <c r="J84" s="50">
        <v>67.7</v>
      </c>
      <c r="K84" s="50">
        <v>72.2</v>
      </c>
    </row>
    <row r="85" spans="2:14" ht="20.149999999999999" customHeight="1" x14ac:dyDescent="0.35">
      <c r="B85" s="5"/>
      <c r="G85" s="5"/>
      <c r="H85" s="1">
        <v>19</v>
      </c>
      <c r="I85" s="50">
        <v>50</v>
      </c>
      <c r="J85" s="50">
        <v>71.099999999999994</v>
      </c>
      <c r="K85" s="50">
        <v>76.5</v>
      </c>
    </row>
    <row r="86" spans="2:14" ht="20.149999999999999" customHeight="1" x14ac:dyDescent="0.35">
      <c r="G86" s="5"/>
      <c r="H86" s="1">
        <v>20</v>
      </c>
      <c r="I86" s="50">
        <v>53</v>
      </c>
      <c r="J86" s="50">
        <v>75.099999999999994</v>
      </c>
      <c r="K86" s="50">
        <v>80.900000000000006</v>
      </c>
    </row>
    <row r="87" spans="2:14" ht="20.149999999999999" customHeight="1" x14ac:dyDescent="0.35">
      <c r="G87" s="5"/>
      <c r="H87" s="1">
        <v>21</v>
      </c>
      <c r="I87" s="50">
        <v>56</v>
      </c>
      <c r="J87" s="50">
        <v>79.8</v>
      </c>
      <c r="K87" s="50">
        <v>85.4</v>
      </c>
    </row>
    <row r="88" spans="2:14" ht="20.149999999999999" customHeight="1" x14ac:dyDescent="0.35">
      <c r="G88" s="5"/>
      <c r="H88" s="1">
        <v>22</v>
      </c>
      <c r="I88" s="50">
        <v>59.1</v>
      </c>
      <c r="J88" s="50">
        <v>83.9</v>
      </c>
      <c r="K88" s="50">
        <v>90</v>
      </c>
    </row>
    <row r="89" spans="2:14" ht="20.149999999999999" customHeight="1" x14ac:dyDescent="0.35">
      <c r="G89" s="5"/>
      <c r="H89" s="1">
        <v>23</v>
      </c>
      <c r="I89" s="50">
        <v>62.2</v>
      </c>
      <c r="J89" s="50">
        <v>88</v>
      </c>
      <c r="K89" s="50">
        <v>94.6</v>
      </c>
    </row>
    <row r="90" spans="2:14" ht="20.149999999999999" customHeight="1" x14ac:dyDescent="0.35">
      <c r="G90" s="5"/>
    </row>
    <row r="93" spans="2:14" ht="20.149999999999999" customHeight="1" x14ac:dyDescent="0.3">
      <c r="G93" s="136" t="s">
        <v>136</v>
      </c>
      <c r="H93" s="136"/>
      <c r="I93" s="136"/>
      <c r="J93" s="136"/>
      <c r="K93" s="72"/>
      <c r="L93" s="72"/>
      <c r="M93" s="72"/>
      <c r="N93" s="72"/>
    </row>
    <row r="94" spans="2:14" ht="20.149999999999999" customHeight="1" x14ac:dyDescent="0.35">
      <c r="B94" s="51" t="s">
        <v>5</v>
      </c>
      <c r="C94" s="51" t="s">
        <v>32</v>
      </c>
      <c r="D94" s="51" t="s">
        <v>86</v>
      </c>
      <c r="G94" s="5"/>
    </row>
    <row r="95" spans="2:14" ht="20.149999999999999" customHeight="1" x14ac:dyDescent="0.35">
      <c r="B95" s="1">
        <v>1</v>
      </c>
      <c r="C95" s="31" t="str">
        <f>C72</f>
        <v>Konversi volume (ml) Natrium Tiosulfat 0,1 N yang didapat ke mg Gula</v>
      </c>
      <c r="D95" s="74" t="str">
        <f>D72</f>
        <v>belum terkonversi</v>
      </c>
      <c r="F95" s="22" t="s">
        <v>137</v>
      </c>
      <c r="G95" s="141" t="str">
        <f>C95</f>
        <v>Konversi volume (ml) Natrium Tiosulfat 0,1 N yang didapat ke mg Gula</v>
      </c>
      <c r="H95" s="141"/>
      <c r="I95" s="69" t="s">
        <v>107</v>
      </c>
      <c r="J95" s="75" t="str">
        <f>C96</f>
        <v>Faktor Pengenceran</v>
      </c>
      <c r="K95" s="5" t="s">
        <v>140</v>
      </c>
      <c r="L95" s="5"/>
    </row>
    <row r="96" spans="2:14" ht="20.149999999999999" customHeight="1" x14ac:dyDescent="0.35">
      <c r="B96" s="1">
        <v>2</v>
      </c>
      <c r="C96" s="53" t="s">
        <v>36</v>
      </c>
      <c r="D96" s="1">
        <v>0</v>
      </c>
      <c r="G96" s="117" t="str">
        <f>C97</f>
        <v>Massa Sampel (mg)</v>
      </c>
      <c r="H96" s="117"/>
      <c r="I96" s="117"/>
      <c r="J96" s="117"/>
      <c r="K96" s="113"/>
      <c r="L96" s="5"/>
    </row>
    <row r="97" spans="2:15" ht="20.149999999999999" customHeight="1" x14ac:dyDescent="0.35">
      <c r="B97" s="1">
        <v>3</v>
      </c>
      <c r="C97" s="2" t="s">
        <v>43</v>
      </c>
      <c r="D97" s="4">
        <v>0</v>
      </c>
      <c r="F97" s="5"/>
      <c r="G97" s="5"/>
      <c r="H97" s="5"/>
      <c r="I97" s="5"/>
      <c r="J97" s="5"/>
      <c r="K97" s="5"/>
      <c r="L97" s="5"/>
    </row>
    <row r="98" spans="2:15" ht="20.149999999999999" customHeight="1" x14ac:dyDescent="0.35">
      <c r="B98" s="124" t="s">
        <v>87</v>
      </c>
      <c r="C98" s="125"/>
      <c r="D98" s="126"/>
      <c r="F98" s="22" t="s">
        <v>17</v>
      </c>
      <c r="G98" s="69" t="str">
        <f>D95</f>
        <v>belum terkonversi</v>
      </c>
      <c r="H98" s="69" t="s">
        <v>107</v>
      </c>
      <c r="I98" s="69">
        <f>D96</f>
        <v>0</v>
      </c>
      <c r="J98" s="13" t="s">
        <v>140</v>
      </c>
      <c r="K98" s="13"/>
      <c r="L98" s="5"/>
    </row>
    <row r="99" spans="2:15" ht="20.149999999999999" customHeight="1" x14ac:dyDescent="0.35">
      <c r="B99" s="1">
        <v>1</v>
      </c>
      <c r="C99" s="31" t="s">
        <v>143</v>
      </c>
      <c r="D99" s="76" t="str">
        <f>G104</f>
        <v>0%</v>
      </c>
      <c r="F99" s="5"/>
      <c r="G99" s="138">
        <f>D97</f>
        <v>0</v>
      </c>
      <c r="H99" s="138"/>
      <c r="I99" s="138"/>
      <c r="J99" s="139"/>
      <c r="K99" s="5"/>
      <c r="L99" s="5"/>
    </row>
    <row r="100" spans="2:15" ht="20.149999999999999" customHeight="1" x14ac:dyDescent="0.35">
      <c r="B100" s="5"/>
      <c r="C100" s="5"/>
      <c r="D100" s="5"/>
      <c r="F100" s="5"/>
      <c r="G100" s="5"/>
      <c r="H100" s="5"/>
      <c r="I100" s="5"/>
      <c r="J100" s="5"/>
      <c r="K100" s="5"/>
      <c r="L100" s="5"/>
    </row>
    <row r="101" spans="2:15" ht="20.149999999999999" customHeight="1" x14ac:dyDescent="0.35">
      <c r="B101" s="5"/>
      <c r="C101" s="5"/>
      <c r="D101" s="5"/>
      <c r="F101" s="22" t="s">
        <v>17</v>
      </c>
      <c r="G101" s="69">
        <f>PRODUCT(G98:I98)</f>
        <v>0</v>
      </c>
      <c r="H101" s="13" t="s">
        <v>140</v>
      </c>
      <c r="I101" s="5"/>
      <c r="J101" s="5"/>
      <c r="K101" s="5"/>
      <c r="L101" s="5"/>
    </row>
    <row r="102" spans="2:15" ht="20.149999999999999" customHeight="1" x14ac:dyDescent="0.35">
      <c r="B102" s="5"/>
      <c r="C102" s="5"/>
      <c r="D102" s="5"/>
      <c r="F102" s="22"/>
      <c r="G102" s="70">
        <f>G99</f>
        <v>0</v>
      </c>
      <c r="H102" s="5"/>
      <c r="I102" s="5"/>
      <c r="J102" s="5"/>
      <c r="K102" s="5"/>
      <c r="L102" s="5"/>
    </row>
    <row r="103" spans="2:15" ht="20.149999999999999" customHeight="1" x14ac:dyDescent="0.35">
      <c r="B103" s="5"/>
      <c r="C103" s="5"/>
      <c r="D103" s="5"/>
      <c r="F103" s="22"/>
      <c r="G103" s="13"/>
      <c r="H103" s="5"/>
      <c r="I103" s="5"/>
      <c r="J103" s="5"/>
      <c r="K103" s="5"/>
      <c r="L103" s="5"/>
    </row>
    <row r="104" spans="2:15" ht="20.149999999999999" customHeight="1" x14ac:dyDescent="0.35">
      <c r="B104" s="5"/>
      <c r="C104" s="5"/>
      <c r="D104" s="5"/>
      <c r="F104" s="22" t="s">
        <v>137</v>
      </c>
      <c r="G104" s="29" t="str">
        <f>IFERROR(G101/G102,"0%")</f>
        <v>0%</v>
      </c>
      <c r="H104" s="5"/>
      <c r="I104" s="5"/>
      <c r="J104" s="5"/>
      <c r="K104" s="5"/>
      <c r="L104" s="5"/>
    </row>
    <row r="105" spans="2:15" ht="20.149999999999999" customHeight="1" x14ac:dyDescent="0.35">
      <c r="B105" s="5"/>
      <c r="C105" s="5"/>
      <c r="D105" s="5"/>
      <c r="F105" s="22"/>
      <c r="G105" s="13"/>
      <c r="H105" s="5"/>
      <c r="I105" s="5"/>
      <c r="J105" s="5"/>
      <c r="K105" s="5"/>
      <c r="L105" s="5"/>
    </row>
    <row r="106" spans="2:15" ht="20.149999999999999" customHeight="1" x14ac:dyDescent="0.35">
      <c r="B106" s="5"/>
      <c r="C106" s="5"/>
      <c r="D106" s="5"/>
      <c r="F106" s="22"/>
      <c r="G106" s="13"/>
      <c r="H106" s="5"/>
      <c r="I106" s="5"/>
      <c r="J106" s="5"/>
      <c r="K106" s="5"/>
      <c r="L106" s="5"/>
    </row>
    <row r="107" spans="2:15" ht="20.149999999999999" customHeight="1" x14ac:dyDescent="0.35">
      <c r="B107" s="5"/>
      <c r="C107" s="5"/>
      <c r="D107" s="5"/>
      <c r="G107" s="13"/>
      <c r="H107" s="5"/>
      <c r="I107" s="5"/>
      <c r="J107" s="5"/>
      <c r="K107" s="5"/>
      <c r="L107" s="5"/>
    </row>
    <row r="108" spans="2:15" ht="20.149999999999999" customHeight="1" x14ac:dyDescent="0.35">
      <c r="B108" s="5"/>
      <c r="C108" s="5"/>
      <c r="D108" s="5"/>
      <c r="G108" s="136" t="s">
        <v>141</v>
      </c>
      <c r="H108" s="136"/>
      <c r="I108" s="136"/>
      <c r="J108" s="136"/>
      <c r="K108" s="5"/>
      <c r="L108" s="5"/>
    </row>
    <row r="109" spans="2:15" ht="20.149999999999999" customHeight="1" x14ac:dyDescent="0.35">
      <c r="B109" s="51" t="s">
        <v>5</v>
      </c>
      <c r="C109" s="51" t="s">
        <v>32</v>
      </c>
      <c r="D109" s="51" t="s">
        <v>86</v>
      </c>
      <c r="G109" s="5"/>
      <c r="H109" s="5"/>
      <c r="I109" s="5"/>
      <c r="J109" s="5"/>
      <c r="K109" s="5"/>
      <c r="L109" s="5"/>
    </row>
    <row r="110" spans="2:15" ht="20.149999999999999" customHeight="1" x14ac:dyDescent="0.35">
      <c r="B110" s="1">
        <v>1</v>
      </c>
      <c r="C110" s="79" t="str">
        <f>C99</f>
        <v>% Glukosa</v>
      </c>
      <c r="D110" s="76" t="str">
        <f>D99</f>
        <v>0%</v>
      </c>
      <c r="F110" s="22" t="s">
        <v>142</v>
      </c>
      <c r="G110" s="13" t="str">
        <f>C110</f>
        <v>% Glukosa</v>
      </c>
      <c r="H110" s="13" t="s">
        <v>107</v>
      </c>
      <c r="I110" s="13" t="str">
        <f>C112</f>
        <v>Faktor Konversi</v>
      </c>
      <c r="J110" s="13"/>
      <c r="K110" s="13"/>
      <c r="L110" s="13"/>
      <c r="M110" s="13"/>
      <c r="N110" s="13"/>
      <c r="O110" s="13"/>
    </row>
    <row r="111" spans="2:15" ht="20.149999999999999" customHeight="1" x14ac:dyDescent="0.35">
      <c r="B111" s="1">
        <v>2</v>
      </c>
      <c r="C111" s="79" t="s">
        <v>144</v>
      </c>
      <c r="D111" s="74" t="s">
        <v>4</v>
      </c>
      <c r="G111" s="13"/>
      <c r="H111" s="13" t="s">
        <v>4</v>
      </c>
      <c r="I111" s="13" t="s">
        <v>4</v>
      </c>
      <c r="J111" s="13"/>
      <c r="K111" s="13"/>
      <c r="L111" s="13"/>
      <c r="M111" s="13"/>
      <c r="N111" s="13"/>
      <c r="O111" s="13"/>
    </row>
    <row r="112" spans="2:15" ht="20.149999999999999" customHeight="1" x14ac:dyDescent="0.35">
      <c r="B112" s="1">
        <v>3</v>
      </c>
      <c r="C112" s="79" t="s">
        <v>53</v>
      </c>
      <c r="D112" s="74" t="str">
        <f>IFERROR(VLOOKUP(D111,C124:D125,2,TRUE),"0")</f>
        <v>0</v>
      </c>
      <c r="F112" s="22" t="s">
        <v>17</v>
      </c>
      <c r="G112" s="77" t="str">
        <f>D110</f>
        <v>0%</v>
      </c>
      <c r="H112" s="13" t="s">
        <v>107</v>
      </c>
      <c r="I112" s="13" t="str">
        <f>D112</f>
        <v>0</v>
      </c>
      <c r="J112" s="13"/>
      <c r="K112" s="13"/>
      <c r="L112" s="13"/>
      <c r="M112" s="13"/>
      <c r="N112" s="13"/>
      <c r="O112" s="13"/>
    </row>
    <row r="113" spans="2:15" ht="20.149999999999999" customHeight="1" x14ac:dyDescent="0.35">
      <c r="B113" s="124" t="s">
        <v>87</v>
      </c>
      <c r="C113" s="125"/>
      <c r="D113" s="126"/>
      <c r="E113" s="5"/>
      <c r="F113" s="5"/>
      <c r="G113" s="13"/>
      <c r="H113" s="116" t="s">
        <v>4</v>
      </c>
      <c r="I113" s="116"/>
      <c r="J113" s="116"/>
      <c r="K113" s="116"/>
      <c r="L113" s="116"/>
      <c r="M113" s="116"/>
      <c r="N113" s="116"/>
      <c r="O113" s="116"/>
    </row>
    <row r="114" spans="2:15" ht="20.149999999999999" customHeight="1" x14ac:dyDescent="0.35">
      <c r="B114" s="74">
        <v>1</v>
      </c>
      <c r="C114" s="31" t="s">
        <v>147</v>
      </c>
      <c r="D114" s="76">
        <f>G114</f>
        <v>0</v>
      </c>
      <c r="E114" s="5"/>
      <c r="F114" s="22" t="s">
        <v>142</v>
      </c>
      <c r="G114" s="13">
        <f>IFERROR(PRODUCT(G112:I112),"0%")</f>
        <v>0</v>
      </c>
      <c r="H114" s="13"/>
      <c r="I114" s="13"/>
      <c r="J114" s="13"/>
      <c r="K114" s="13"/>
      <c r="L114" s="13"/>
      <c r="M114" s="13"/>
      <c r="N114" s="13"/>
      <c r="O114" s="13"/>
    </row>
    <row r="115" spans="2:15" ht="20.149999999999999" customHeight="1" x14ac:dyDescent="0.35">
      <c r="B115" s="5"/>
      <c r="C115" s="78"/>
      <c r="D115" s="13"/>
      <c r="E115" s="5"/>
      <c r="F115" s="5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2:15" ht="20.149999999999999" customHeight="1" x14ac:dyDescent="0.35">
      <c r="B116" s="5"/>
      <c r="C116" s="7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2:15" ht="20.149999999999999" customHeight="1" x14ac:dyDescent="0.35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2:15" ht="20.149999999999999" customHeight="1" x14ac:dyDescent="0.35">
      <c r="E118" s="8"/>
      <c r="G118" s="5"/>
      <c r="H118" s="5"/>
    </row>
    <row r="119" spans="2:15" ht="20.149999999999999" customHeight="1" x14ac:dyDescent="0.35">
      <c r="E119" s="5"/>
      <c r="G119" s="5"/>
      <c r="H119" s="5"/>
    </row>
    <row r="120" spans="2:15" ht="20.149999999999999" customHeight="1" x14ac:dyDescent="0.35">
      <c r="E120" s="5"/>
      <c r="G120" s="5"/>
      <c r="H120" s="5"/>
    </row>
    <row r="121" spans="2:15" ht="20.149999999999999" customHeight="1" x14ac:dyDescent="0.35">
      <c r="B121" s="5"/>
      <c r="C121" s="59" t="s">
        <v>148</v>
      </c>
      <c r="D121" s="5"/>
      <c r="E121" s="5"/>
      <c r="G121" s="5"/>
      <c r="H121" s="5"/>
    </row>
    <row r="122" spans="2:15" ht="20.149999999999999" customHeight="1" x14ac:dyDescent="0.35">
      <c r="B122" s="5"/>
      <c r="D122" s="18"/>
    </row>
    <row r="123" spans="2:15" ht="20.149999999999999" customHeight="1" x14ac:dyDescent="0.35">
      <c r="B123" s="51" t="s">
        <v>5</v>
      </c>
      <c r="C123" s="52" t="s">
        <v>144</v>
      </c>
      <c r="D123" s="52" t="s">
        <v>53</v>
      </c>
    </row>
    <row r="124" spans="2:15" ht="20.149999999999999" customHeight="1" x14ac:dyDescent="0.35">
      <c r="B124" s="74">
        <v>1</v>
      </c>
      <c r="C124" s="31" t="s">
        <v>145</v>
      </c>
      <c r="D124" s="74">
        <v>0.9</v>
      </c>
    </row>
    <row r="125" spans="2:15" ht="20.149999999999999" customHeight="1" x14ac:dyDescent="0.35">
      <c r="B125" s="74">
        <v>2</v>
      </c>
      <c r="C125" s="31" t="s">
        <v>146</v>
      </c>
      <c r="D125" s="74">
        <v>0.95</v>
      </c>
    </row>
    <row r="129" spans="2:14" ht="20.149999999999999" customHeight="1" x14ac:dyDescent="0.4">
      <c r="B129" s="140" t="s">
        <v>150</v>
      </c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</row>
    <row r="131" spans="2:14" ht="20.149999999999999" customHeight="1" x14ac:dyDescent="0.35">
      <c r="F131" s="5"/>
    </row>
    <row r="132" spans="2:14" ht="20.149999999999999" customHeight="1" x14ac:dyDescent="0.3">
      <c r="B132" s="136" t="s">
        <v>138</v>
      </c>
      <c r="C132" s="136"/>
      <c r="D132" s="136"/>
      <c r="E132" s="136"/>
      <c r="F132" s="136"/>
      <c r="G132" s="136"/>
      <c r="H132" s="136"/>
      <c r="I132" s="136"/>
      <c r="J132" s="72"/>
      <c r="K132" s="72"/>
      <c r="L132" s="72"/>
      <c r="M132" s="72"/>
      <c r="N132" s="72"/>
    </row>
    <row r="135" spans="2:14" ht="20.149999999999999" customHeight="1" x14ac:dyDescent="0.3">
      <c r="B135" s="51" t="s">
        <v>5</v>
      </c>
      <c r="C135" s="51" t="s">
        <v>32</v>
      </c>
      <c r="D135" s="51" t="s">
        <v>86</v>
      </c>
      <c r="F135" s="143" t="str">
        <f>C136&amp;"="</f>
        <v>Volume (mL) Natrium Tiosulfat 0,1 N yang didapat=</v>
      </c>
      <c r="G135" s="143"/>
    </row>
    <row r="136" spans="2:14" ht="20.149999999999999" customHeight="1" x14ac:dyDescent="0.3">
      <c r="B136" s="1">
        <v>1</v>
      </c>
      <c r="C136" s="2" t="s">
        <v>134</v>
      </c>
      <c r="D136" s="65">
        <f>D124</f>
        <v>0.9</v>
      </c>
    </row>
    <row r="137" spans="2:14" ht="20.149999999999999" customHeight="1" x14ac:dyDescent="0.35">
      <c r="B137" s="124" t="s">
        <v>87</v>
      </c>
      <c r="C137" s="125"/>
      <c r="D137" s="126"/>
    </row>
    <row r="138" spans="2:14" ht="20.149999999999999" customHeight="1" x14ac:dyDescent="0.35">
      <c r="B138" s="1">
        <v>2</v>
      </c>
      <c r="C138" s="31" t="s">
        <v>139</v>
      </c>
      <c r="D138" s="74" t="str">
        <f>IFERROR(VLOOKUP(D137,H163:K186,2,TRUE),"belum terkonversi")</f>
        <v>belum terkonversi</v>
      </c>
    </row>
    <row r="142" spans="2:14" ht="20.149999999999999" customHeight="1" x14ac:dyDescent="0.3">
      <c r="C142" s="137" t="s">
        <v>125</v>
      </c>
      <c r="D142" s="137"/>
      <c r="E142" s="137"/>
      <c r="F142" s="137"/>
    </row>
    <row r="143" spans="2:14" ht="20.149999999999999" customHeight="1" x14ac:dyDescent="0.35">
      <c r="C143" s="5"/>
      <c r="D143" s="5"/>
      <c r="E143" s="5"/>
    </row>
    <row r="144" spans="2:14" ht="20.149999999999999" customHeight="1" x14ac:dyDescent="0.3">
      <c r="C144" s="51" t="s">
        <v>129</v>
      </c>
      <c r="D144" s="51" t="s">
        <v>126</v>
      </c>
      <c r="E144" s="51" t="s">
        <v>127</v>
      </c>
      <c r="F144" s="51" t="s">
        <v>128</v>
      </c>
    </row>
    <row r="145" spans="3:7" ht="20.149999999999999" customHeight="1" x14ac:dyDescent="0.3">
      <c r="C145" s="1">
        <v>1</v>
      </c>
      <c r="D145" s="50">
        <v>2.4</v>
      </c>
      <c r="E145" s="50">
        <v>3.6</v>
      </c>
      <c r="F145" s="50">
        <v>3.9</v>
      </c>
    </row>
    <row r="146" spans="3:7" ht="20.149999999999999" customHeight="1" x14ac:dyDescent="0.3">
      <c r="C146" s="1">
        <v>2</v>
      </c>
      <c r="D146" s="50">
        <v>4.8</v>
      </c>
      <c r="E146" s="50">
        <v>7.3</v>
      </c>
      <c r="F146" s="50">
        <v>7.8</v>
      </c>
    </row>
    <row r="147" spans="3:7" ht="20.149999999999999" customHeight="1" x14ac:dyDescent="0.3">
      <c r="C147" s="1">
        <v>3</v>
      </c>
      <c r="D147" s="50">
        <v>7.2</v>
      </c>
      <c r="E147" s="50">
        <v>11</v>
      </c>
      <c r="F147" s="50">
        <v>11.7</v>
      </c>
    </row>
    <row r="148" spans="3:7" ht="20.149999999999999" customHeight="1" x14ac:dyDescent="0.3">
      <c r="C148" s="1">
        <v>5</v>
      </c>
      <c r="D148" s="50">
        <v>12.2</v>
      </c>
      <c r="E148" s="50">
        <v>18.399999999999999</v>
      </c>
      <c r="F148" s="50">
        <v>19.600000000000001</v>
      </c>
    </row>
    <row r="149" spans="3:7" ht="20.149999999999999" customHeight="1" x14ac:dyDescent="0.3">
      <c r="C149" s="1">
        <v>6</v>
      </c>
      <c r="D149" s="50">
        <v>14.7</v>
      </c>
      <c r="E149" s="50">
        <v>22.1</v>
      </c>
      <c r="F149" s="50">
        <v>23.5</v>
      </c>
    </row>
    <row r="150" spans="3:7" ht="20.149999999999999" customHeight="1" x14ac:dyDescent="0.3">
      <c r="C150" s="1">
        <v>7</v>
      </c>
      <c r="D150" s="50">
        <v>17.2</v>
      </c>
      <c r="E150" s="50">
        <v>25.8</v>
      </c>
      <c r="F150" s="50">
        <v>25.5</v>
      </c>
    </row>
    <row r="151" spans="3:7" ht="20.149999999999999" customHeight="1" x14ac:dyDescent="0.3">
      <c r="C151" s="1">
        <v>8</v>
      </c>
      <c r="D151" s="50">
        <v>19.8</v>
      </c>
      <c r="E151" s="50">
        <v>29.5</v>
      </c>
      <c r="F151" s="50">
        <v>31.5</v>
      </c>
    </row>
    <row r="152" spans="3:7" ht="20.149999999999999" customHeight="1" x14ac:dyDescent="0.3">
      <c r="C152" s="1">
        <v>9</v>
      </c>
      <c r="D152" s="50">
        <v>22.4</v>
      </c>
      <c r="E152" s="50">
        <v>33.200000000000003</v>
      </c>
      <c r="F152" s="50">
        <v>35.5</v>
      </c>
    </row>
    <row r="153" spans="3:7" ht="20.149999999999999" customHeight="1" x14ac:dyDescent="0.3">
      <c r="C153" s="1">
        <v>10</v>
      </c>
      <c r="D153" s="50">
        <v>25</v>
      </c>
      <c r="E153" s="50">
        <v>37</v>
      </c>
      <c r="F153" s="50">
        <v>39.5</v>
      </c>
    </row>
    <row r="154" spans="3:7" ht="20.149999999999999" customHeight="1" x14ac:dyDescent="0.3">
      <c r="C154" s="1">
        <v>11</v>
      </c>
      <c r="D154" s="50">
        <v>27.6</v>
      </c>
      <c r="E154" s="50">
        <v>40.799999999999997</v>
      </c>
      <c r="F154" s="50">
        <v>43.5</v>
      </c>
    </row>
    <row r="155" spans="3:7" ht="20.149999999999999" customHeight="1" x14ac:dyDescent="0.3">
      <c r="C155" s="1">
        <v>12</v>
      </c>
      <c r="D155" s="50">
        <v>30.3</v>
      </c>
      <c r="E155" s="50">
        <v>44.6</v>
      </c>
      <c r="F155" s="50">
        <v>47.5</v>
      </c>
    </row>
    <row r="156" spans="3:7" ht="20.149999999999999" customHeight="1" x14ac:dyDescent="0.3">
      <c r="C156" s="1">
        <v>13</v>
      </c>
      <c r="D156" s="50">
        <v>33</v>
      </c>
      <c r="E156" s="50">
        <v>48.6</v>
      </c>
      <c r="F156" s="50">
        <v>51.6</v>
      </c>
    </row>
    <row r="157" spans="3:7" ht="20.149999999999999" customHeight="1" x14ac:dyDescent="0.3">
      <c r="C157" s="1">
        <v>14</v>
      </c>
      <c r="D157" s="50">
        <v>35.700000000000003</v>
      </c>
      <c r="E157" s="50">
        <v>52.2</v>
      </c>
      <c r="F157" s="50">
        <v>55.7</v>
      </c>
    </row>
    <row r="158" spans="3:7" ht="20.149999999999999" customHeight="1" x14ac:dyDescent="0.3">
      <c r="C158" s="1">
        <v>15</v>
      </c>
      <c r="D158" s="50">
        <v>38.5</v>
      </c>
      <c r="E158" s="50">
        <v>56</v>
      </c>
      <c r="F158" s="50">
        <v>59.8</v>
      </c>
    </row>
    <row r="159" spans="3:7" ht="20.149999999999999" customHeight="1" x14ac:dyDescent="0.35">
      <c r="C159" s="1">
        <v>16</v>
      </c>
      <c r="D159" s="50">
        <v>41.3</v>
      </c>
      <c r="E159" s="50">
        <v>59.9</v>
      </c>
      <c r="F159" s="50">
        <v>63.9</v>
      </c>
      <c r="G159" s="5"/>
    </row>
    <row r="160" spans="3:7" ht="20.149999999999999" customHeight="1" x14ac:dyDescent="0.35">
      <c r="C160" s="1">
        <v>17</v>
      </c>
      <c r="D160" s="50">
        <v>44.2</v>
      </c>
      <c r="E160" s="50">
        <v>63.8</v>
      </c>
      <c r="F160" s="50">
        <v>68</v>
      </c>
      <c r="G160" s="5"/>
    </row>
    <row r="161" spans="2:7" ht="20.149999999999999" customHeight="1" x14ac:dyDescent="0.35">
      <c r="B161" s="5"/>
      <c r="C161" s="1">
        <v>18</v>
      </c>
      <c r="D161" s="50">
        <v>47.1</v>
      </c>
      <c r="E161" s="50">
        <v>67.7</v>
      </c>
      <c r="F161" s="50">
        <v>72.2</v>
      </c>
      <c r="G161" s="5"/>
    </row>
    <row r="162" spans="2:7" ht="20.149999999999999" customHeight="1" x14ac:dyDescent="0.35">
      <c r="C162" s="1">
        <v>19</v>
      </c>
      <c r="D162" s="50">
        <v>50</v>
      </c>
      <c r="E162" s="50">
        <v>71.099999999999994</v>
      </c>
      <c r="F162" s="50">
        <v>76.5</v>
      </c>
      <c r="G162" s="5"/>
    </row>
    <row r="163" spans="2:7" ht="20.149999999999999" customHeight="1" x14ac:dyDescent="0.3">
      <c r="C163" s="1">
        <v>20</v>
      </c>
      <c r="D163" s="50">
        <v>53</v>
      </c>
      <c r="E163" s="50">
        <v>75.099999999999994</v>
      </c>
      <c r="F163" s="50">
        <v>80.900000000000006</v>
      </c>
    </row>
    <row r="164" spans="2:7" ht="20.149999999999999" customHeight="1" x14ac:dyDescent="0.3">
      <c r="C164" s="1">
        <v>21</v>
      </c>
      <c r="D164" s="50">
        <v>56</v>
      </c>
      <c r="E164" s="50">
        <v>79.8</v>
      </c>
      <c r="F164" s="50">
        <v>85.4</v>
      </c>
    </row>
    <row r="165" spans="2:7" ht="20.149999999999999" customHeight="1" x14ac:dyDescent="0.3">
      <c r="C165" s="1">
        <v>22</v>
      </c>
      <c r="D165" s="50">
        <v>59.1</v>
      </c>
      <c r="E165" s="50">
        <v>83.9</v>
      </c>
      <c r="F165" s="50">
        <v>90</v>
      </c>
    </row>
    <row r="166" spans="2:7" ht="20.149999999999999" customHeight="1" x14ac:dyDescent="0.35">
      <c r="B166" s="5"/>
      <c r="C166" s="1">
        <v>23</v>
      </c>
      <c r="D166" s="50">
        <v>62.2</v>
      </c>
      <c r="E166" s="50">
        <v>88</v>
      </c>
      <c r="F166" s="50">
        <v>94.6</v>
      </c>
    </row>
    <row r="167" spans="2:7" ht="20.149999999999999" customHeight="1" x14ac:dyDescent="0.35">
      <c r="B167" s="5"/>
    </row>
    <row r="168" spans="2:7" ht="20.149999999999999" customHeight="1" x14ac:dyDescent="0.35">
      <c r="B168" s="5"/>
    </row>
    <row r="169" spans="2:7" ht="20.149999999999999" customHeight="1" x14ac:dyDescent="0.35">
      <c r="B169" s="5"/>
    </row>
    <row r="170" spans="2:7" ht="20.149999999999999" customHeight="1" x14ac:dyDescent="0.35">
      <c r="B170" s="5"/>
    </row>
    <row r="171" spans="2:7" ht="20.149999999999999" customHeight="1" x14ac:dyDescent="0.35">
      <c r="B171" s="5"/>
      <c r="G171" s="5"/>
    </row>
    <row r="172" spans="2:7" ht="20.149999999999999" customHeight="1" x14ac:dyDescent="0.35">
      <c r="B172" s="5"/>
      <c r="G172" s="5"/>
    </row>
    <row r="173" spans="2:7" ht="20.149999999999999" customHeight="1" x14ac:dyDescent="0.35">
      <c r="B173" s="5"/>
      <c r="G173" s="5"/>
    </row>
    <row r="174" spans="2:7" ht="20.149999999999999" customHeight="1" x14ac:dyDescent="0.35">
      <c r="B174" s="5" t="s">
        <v>4</v>
      </c>
      <c r="C174" s="5"/>
      <c r="D174" s="5"/>
      <c r="G174" s="5"/>
    </row>
    <row r="175" spans="2:7" ht="20.149999999999999" customHeight="1" x14ac:dyDescent="0.35">
      <c r="B175" s="5"/>
      <c r="C175" s="5"/>
      <c r="D175" s="5"/>
      <c r="G175" s="5"/>
    </row>
    <row r="176" spans="2:7" ht="20.149999999999999" customHeight="1" x14ac:dyDescent="0.35">
      <c r="B176" s="5"/>
      <c r="C176" s="5"/>
      <c r="D176" s="5"/>
      <c r="G176" s="5"/>
    </row>
    <row r="177" spans="2:14" ht="20.149999999999999" customHeight="1" x14ac:dyDescent="0.35">
      <c r="B177" s="5"/>
      <c r="G177" s="5"/>
    </row>
    <row r="178" spans="2:14" ht="20.149999999999999" customHeight="1" x14ac:dyDescent="0.35">
      <c r="B178" s="5"/>
      <c r="G178" s="5"/>
    </row>
    <row r="179" spans="2:14" ht="20.149999999999999" customHeight="1" x14ac:dyDescent="0.35">
      <c r="G179" s="5"/>
    </row>
    <row r="180" spans="2:14" ht="20.149999999999999" customHeight="1" x14ac:dyDescent="0.35">
      <c r="G180" s="5"/>
    </row>
    <row r="181" spans="2:14" ht="20.149999999999999" customHeight="1" x14ac:dyDescent="0.35">
      <c r="G181" s="5"/>
    </row>
    <row r="182" spans="2:14" ht="20.149999999999999" customHeight="1" x14ac:dyDescent="0.35">
      <c r="G182" s="5"/>
    </row>
    <row r="183" spans="2:14" ht="20.149999999999999" customHeight="1" x14ac:dyDescent="0.35">
      <c r="G183" s="5"/>
    </row>
    <row r="186" spans="2:14" ht="20.149999999999999" customHeight="1" x14ac:dyDescent="0.3">
      <c r="G186" s="48" t="s">
        <v>136</v>
      </c>
      <c r="H186" s="48"/>
      <c r="I186" s="48"/>
      <c r="J186" s="48"/>
      <c r="K186" s="72"/>
      <c r="L186" s="72"/>
      <c r="M186" s="72"/>
      <c r="N186" s="72"/>
    </row>
    <row r="187" spans="2:14" ht="20.149999999999999" customHeight="1" x14ac:dyDescent="0.35">
      <c r="B187" s="51" t="s">
        <v>5</v>
      </c>
      <c r="C187" s="51" t="s">
        <v>32</v>
      </c>
      <c r="D187" s="51" t="s">
        <v>86</v>
      </c>
      <c r="G187" s="5"/>
    </row>
    <row r="188" spans="2:14" ht="20.149999999999999" customHeight="1" x14ac:dyDescent="0.35">
      <c r="B188" s="1">
        <v>1</v>
      </c>
      <c r="C188" s="31" t="str">
        <f>C138</f>
        <v>Konversi volume (ml) Natrium Tiosulfat 0,1 N yang didapat ke mg Gula</v>
      </c>
      <c r="D188" s="74" t="str">
        <f>D138</f>
        <v>belum terkonversi</v>
      </c>
      <c r="F188" s="22" t="s">
        <v>137</v>
      </c>
      <c r="G188" s="69" t="str">
        <f>C188</f>
        <v>Konversi volume (ml) Natrium Tiosulfat 0,1 N yang didapat ke mg Gula</v>
      </c>
      <c r="H188" s="69"/>
      <c r="I188" s="69" t="s">
        <v>107</v>
      </c>
      <c r="J188" s="75" t="str">
        <f>C189</f>
        <v>Faktor Pengenceran</v>
      </c>
      <c r="K188" s="5" t="s">
        <v>140</v>
      </c>
      <c r="L188" s="5"/>
    </row>
    <row r="189" spans="2:14" ht="20.149999999999999" customHeight="1" x14ac:dyDescent="0.35">
      <c r="B189" s="1">
        <v>2</v>
      </c>
      <c r="C189" s="53" t="s">
        <v>36</v>
      </c>
      <c r="D189" s="1">
        <v>0</v>
      </c>
      <c r="G189" s="64" t="str">
        <f>C190</f>
        <v>Massa Sampel (mg)</v>
      </c>
      <c r="H189" s="64"/>
      <c r="I189" s="64"/>
      <c r="J189" s="64"/>
      <c r="K189" s="13"/>
      <c r="L189" s="5"/>
    </row>
    <row r="190" spans="2:14" ht="20.149999999999999" customHeight="1" x14ac:dyDescent="0.35">
      <c r="B190" s="1">
        <v>3</v>
      </c>
      <c r="C190" s="2" t="s">
        <v>43</v>
      </c>
      <c r="D190" s="4">
        <v>0</v>
      </c>
      <c r="F190" s="5"/>
      <c r="G190" s="5"/>
      <c r="H190" s="5"/>
      <c r="I190" s="5"/>
      <c r="J190" s="5"/>
      <c r="K190" s="5"/>
      <c r="L190" s="5"/>
    </row>
    <row r="191" spans="2:14" ht="20.149999999999999" customHeight="1" x14ac:dyDescent="0.35">
      <c r="B191" s="60" t="s">
        <v>87</v>
      </c>
      <c r="C191" s="61"/>
      <c r="D191" s="62"/>
      <c r="F191" s="22" t="s">
        <v>17</v>
      </c>
      <c r="G191" s="69" t="str">
        <f>D188</f>
        <v>belum terkonversi</v>
      </c>
      <c r="H191" s="69" t="s">
        <v>107</v>
      </c>
      <c r="I191" s="69">
        <f>D189</f>
        <v>0</v>
      </c>
      <c r="J191" s="13" t="s">
        <v>140</v>
      </c>
      <c r="K191" s="13"/>
      <c r="L191" s="5"/>
    </row>
    <row r="192" spans="2:14" ht="20.149999999999999" customHeight="1" x14ac:dyDescent="0.35">
      <c r="B192" s="31">
        <v>1</v>
      </c>
      <c r="C192" s="31" t="s">
        <v>143</v>
      </c>
      <c r="D192" s="76" t="str">
        <f>G197</f>
        <v>0%</v>
      </c>
      <c r="F192" s="5"/>
      <c r="G192" s="68">
        <f>D190</f>
        <v>0</v>
      </c>
      <c r="H192" s="68"/>
      <c r="I192" s="68"/>
      <c r="J192" s="70"/>
      <c r="K192" s="5"/>
      <c r="L192" s="5"/>
    </row>
    <row r="193" spans="2:15" ht="20.149999999999999" customHeight="1" x14ac:dyDescent="0.35">
      <c r="B193" s="5"/>
      <c r="C193" s="5"/>
      <c r="D193" s="5"/>
      <c r="F193" s="5"/>
      <c r="G193" s="5"/>
      <c r="H193" s="5"/>
      <c r="I193" s="5"/>
      <c r="J193" s="5"/>
      <c r="K193" s="5"/>
      <c r="L193" s="5"/>
    </row>
    <row r="194" spans="2:15" ht="20.149999999999999" customHeight="1" x14ac:dyDescent="0.35">
      <c r="B194" s="5"/>
      <c r="C194" s="5"/>
      <c r="D194" s="5"/>
      <c r="F194" s="22" t="s">
        <v>17</v>
      </c>
      <c r="G194" s="69">
        <f>PRODUCT(G191:I191)</f>
        <v>0</v>
      </c>
      <c r="H194" s="13" t="s">
        <v>140</v>
      </c>
      <c r="I194" s="5"/>
      <c r="J194" s="5"/>
      <c r="K194" s="5"/>
      <c r="L194" s="5"/>
    </row>
    <row r="195" spans="2:15" ht="20.149999999999999" customHeight="1" x14ac:dyDescent="0.35">
      <c r="B195" s="5"/>
      <c r="C195" s="5"/>
      <c r="D195" s="5"/>
      <c r="F195" s="22"/>
      <c r="G195" s="70">
        <f>G192</f>
        <v>0</v>
      </c>
      <c r="H195" s="5"/>
      <c r="I195" s="5"/>
      <c r="J195" s="5"/>
      <c r="K195" s="5"/>
      <c r="L195" s="5"/>
    </row>
    <row r="196" spans="2:15" ht="20.149999999999999" customHeight="1" x14ac:dyDescent="0.35">
      <c r="B196" s="5"/>
      <c r="C196" s="5"/>
      <c r="D196" s="5"/>
      <c r="F196" s="22"/>
      <c r="G196" s="13"/>
      <c r="H196" s="5"/>
      <c r="I196" s="5"/>
      <c r="J196" s="5"/>
      <c r="K196" s="5"/>
      <c r="L196" s="5"/>
    </row>
    <row r="197" spans="2:15" ht="20.149999999999999" customHeight="1" x14ac:dyDescent="0.35">
      <c r="B197" s="5"/>
      <c r="C197" s="5"/>
      <c r="D197" s="5"/>
      <c r="F197" s="22" t="s">
        <v>137</v>
      </c>
      <c r="G197" s="29" t="str">
        <f>IFERROR(G194/G195,"0%")</f>
        <v>0%</v>
      </c>
      <c r="H197" s="5"/>
      <c r="I197" s="5"/>
      <c r="J197" s="5"/>
      <c r="K197" s="5"/>
      <c r="L197" s="5"/>
    </row>
    <row r="198" spans="2:15" ht="20.149999999999999" customHeight="1" x14ac:dyDescent="0.35">
      <c r="B198" s="5"/>
      <c r="C198" s="5"/>
      <c r="D198" s="5"/>
      <c r="F198" s="22"/>
      <c r="G198" s="13"/>
      <c r="H198" s="5"/>
      <c r="I198" s="5"/>
      <c r="J198" s="5"/>
      <c r="K198" s="5"/>
      <c r="L198" s="5"/>
    </row>
    <row r="199" spans="2:15" ht="20.149999999999999" customHeight="1" x14ac:dyDescent="0.35">
      <c r="B199" s="5"/>
      <c r="C199" s="5"/>
      <c r="D199" s="5"/>
      <c r="F199" s="22"/>
      <c r="G199" s="13"/>
      <c r="H199" s="5"/>
      <c r="I199" s="5"/>
      <c r="J199" s="5"/>
      <c r="K199" s="5"/>
      <c r="L199" s="5"/>
    </row>
    <row r="200" spans="2:15" ht="20.149999999999999" customHeight="1" x14ac:dyDescent="0.35">
      <c r="B200" s="5"/>
      <c r="C200" s="5"/>
      <c r="D200" s="5"/>
      <c r="G200" s="13"/>
      <c r="H200" s="5"/>
      <c r="I200" s="5"/>
      <c r="J200" s="5"/>
      <c r="K200" s="5"/>
      <c r="L200" s="5"/>
    </row>
    <row r="201" spans="2:15" ht="20.149999999999999" customHeight="1" x14ac:dyDescent="0.35">
      <c r="B201" s="5"/>
      <c r="C201" s="5"/>
      <c r="D201" s="5"/>
      <c r="G201" s="48" t="s">
        <v>141</v>
      </c>
      <c r="H201" s="48"/>
      <c r="I201" s="48"/>
      <c r="J201" s="48"/>
      <c r="K201" s="5"/>
      <c r="L201" s="5"/>
    </row>
    <row r="202" spans="2:15" ht="20.149999999999999" customHeight="1" x14ac:dyDescent="0.35">
      <c r="B202" s="51" t="s">
        <v>5</v>
      </c>
      <c r="C202" s="51" t="s">
        <v>32</v>
      </c>
      <c r="D202" s="51" t="s">
        <v>86</v>
      </c>
      <c r="G202" s="5"/>
      <c r="H202" s="5"/>
      <c r="I202" s="5"/>
      <c r="J202" s="5"/>
      <c r="K202" s="5"/>
      <c r="L202" s="5"/>
    </row>
    <row r="203" spans="2:15" ht="20.149999999999999" customHeight="1" x14ac:dyDescent="0.35">
      <c r="B203" s="1">
        <v>1</v>
      </c>
      <c r="C203" s="79" t="str">
        <f>C192</f>
        <v>% Glukosa</v>
      </c>
      <c r="D203" s="76" t="str">
        <f>D192</f>
        <v>0%</v>
      </c>
      <c r="F203" s="22" t="s">
        <v>142</v>
      </c>
      <c r="G203" s="13" t="str">
        <f>C203</f>
        <v>% Glukosa</v>
      </c>
      <c r="H203" s="13" t="s">
        <v>107</v>
      </c>
      <c r="I203" s="13" t="str">
        <f>C205</f>
        <v>Faktor Konversi</v>
      </c>
      <c r="J203" s="13"/>
      <c r="K203" s="13"/>
      <c r="L203" s="13"/>
      <c r="M203" s="13"/>
      <c r="N203" s="13"/>
      <c r="O203" s="13"/>
    </row>
    <row r="204" spans="2:15" ht="20.149999999999999" customHeight="1" x14ac:dyDescent="0.35">
      <c r="B204" s="1">
        <v>2</v>
      </c>
      <c r="C204" s="79" t="s">
        <v>144</v>
      </c>
      <c r="D204" s="74" t="s">
        <v>4</v>
      </c>
      <c r="G204" s="13"/>
      <c r="H204" s="13" t="s">
        <v>4</v>
      </c>
      <c r="I204" s="13" t="s">
        <v>4</v>
      </c>
      <c r="J204" s="13"/>
      <c r="K204" s="13"/>
      <c r="L204" s="13"/>
      <c r="M204" s="13"/>
      <c r="N204" s="13"/>
      <c r="O204" s="13"/>
    </row>
    <row r="205" spans="2:15" ht="20.149999999999999" customHeight="1" x14ac:dyDescent="0.35">
      <c r="B205" s="1">
        <v>3</v>
      </c>
      <c r="C205" s="79" t="s">
        <v>53</v>
      </c>
      <c r="D205" s="74" t="str">
        <f>IFERROR(VLOOKUP(D204,C217:D218,2,TRUE),"0")</f>
        <v>0</v>
      </c>
      <c r="F205" s="22" t="s">
        <v>17</v>
      </c>
      <c r="G205" s="77" t="str">
        <f>D203</f>
        <v>0%</v>
      </c>
      <c r="H205" s="13" t="s">
        <v>107</v>
      </c>
      <c r="I205" s="13" t="str">
        <f>D205</f>
        <v>0</v>
      </c>
      <c r="J205" s="13"/>
      <c r="K205" s="13"/>
      <c r="L205" s="13"/>
      <c r="M205" s="13"/>
      <c r="N205" s="13"/>
      <c r="O205" s="13"/>
    </row>
    <row r="206" spans="2:15" ht="20.149999999999999" customHeight="1" x14ac:dyDescent="0.35">
      <c r="B206" s="60" t="s">
        <v>87</v>
      </c>
      <c r="C206" s="61"/>
      <c r="D206" s="62"/>
      <c r="E206" s="5"/>
      <c r="F206" s="5"/>
      <c r="G206" s="13"/>
      <c r="H206" s="58" t="s">
        <v>4</v>
      </c>
      <c r="I206" s="58"/>
      <c r="J206" s="58"/>
      <c r="K206" s="58"/>
      <c r="L206" s="58"/>
      <c r="M206" s="58"/>
      <c r="N206" s="58"/>
      <c r="O206" s="58"/>
    </row>
    <row r="207" spans="2:15" ht="20.149999999999999" customHeight="1" x14ac:dyDescent="0.35">
      <c r="B207" s="74">
        <v>1</v>
      </c>
      <c r="C207" s="31" t="s">
        <v>147</v>
      </c>
      <c r="D207" s="76">
        <f>G207</f>
        <v>0</v>
      </c>
      <c r="E207" s="5"/>
      <c r="F207" s="22" t="s">
        <v>142</v>
      </c>
      <c r="G207" s="13">
        <f>IFERROR(PRODUCT(G205:I205),"0%")</f>
        <v>0</v>
      </c>
      <c r="H207" s="13"/>
      <c r="I207" s="13"/>
      <c r="J207" s="13"/>
      <c r="K207" s="13"/>
      <c r="L207" s="13"/>
      <c r="M207" s="13"/>
      <c r="N207" s="13"/>
      <c r="O207" s="13"/>
    </row>
    <row r="208" spans="2:15" ht="20.149999999999999" customHeight="1" x14ac:dyDescent="0.35">
      <c r="B208" s="5"/>
      <c r="C208" s="78"/>
      <c r="D208" s="13"/>
      <c r="E208" s="5"/>
      <c r="F208" s="5"/>
      <c r="G208" s="13"/>
      <c r="H208" s="13"/>
      <c r="I208" s="13"/>
      <c r="J208" s="13"/>
      <c r="K208" s="13"/>
      <c r="L208" s="13"/>
      <c r="M208" s="13"/>
      <c r="N208" s="13"/>
      <c r="O208" s="13"/>
    </row>
    <row r="209" spans="2:15" ht="20.149999999999999" customHeight="1" x14ac:dyDescent="0.35">
      <c r="B209" s="5"/>
      <c r="C209" s="7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2:15" ht="20.149999999999999" customHeight="1" x14ac:dyDescent="0.35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2:15" ht="20.149999999999999" customHeight="1" x14ac:dyDescent="0.35">
      <c r="E211" s="8"/>
      <c r="G211" s="5"/>
      <c r="H211" s="5"/>
    </row>
    <row r="212" spans="2:15" ht="20.149999999999999" customHeight="1" x14ac:dyDescent="0.35">
      <c r="E212" s="5"/>
      <c r="G212" s="5"/>
      <c r="H212" s="5"/>
    </row>
    <row r="213" spans="2:15" ht="20.149999999999999" customHeight="1" x14ac:dyDescent="0.35">
      <c r="E213" s="5"/>
      <c r="G213" s="5"/>
      <c r="H213" s="5"/>
    </row>
    <row r="214" spans="2:15" ht="20.149999999999999" customHeight="1" x14ac:dyDescent="0.35">
      <c r="B214" s="5"/>
      <c r="C214" s="59" t="s">
        <v>148</v>
      </c>
      <c r="D214" s="5"/>
      <c r="E214" s="5"/>
      <c r="G214" s="5"/>
      <c r="H214" s="5"/>
    </row>
    <row r="215" spans="2:15" ht="20.149999999999999" customHeight="1" x14ac:dyDescent="0.35">
      <c r="B215" s="5"/>
      <c r="D215" s="18"/>
    </row>
    <row r="216" spans="2:15" ht="20.149999999999999" customHeight="1" x14ac:dyDescent="0.35">
      <c r="B216" s="51" t="s">
        <v>5</v>
      </c>
      <c r="C216" s="52" t="s">
        <v>144</v>
      </c>
      <c r="D216" s="52" t="s">
        <v>53</v>
      </c>
    </row>
    <row r="217" spans="2:15" ht="20.149999999999999" customHeight="1" x14ac:dyDescent="0.35">
      <c r="B217" s="74">
        <v>1</v>
      </c>
      <c r="C217" s="31" t="s">
        <v>145</v>
      </c>
      <c r="D217" s="74">
        <v>0.9</v>
      </c>
    </row>
    <row r="218" spans="2:15" ht="20.149999999999999" customHeight="1" x14ac:dyDescent="0.35">
      <c r="B218" s="74">
        <v>2</v>
      </c>
      <c r="C218" s="31" t="s">
        <v>146</v>
      </c>
      <c r="D218" s="74">
        <v>0.95</v>
      </c>
    </row>
    <row r="224" spans="2:15" ht="20.149999999999999" customHeight="1" x14ac:dyDescent="0.3">
      <c r="C224" s="33" t="s">
        <v>157</v>
      </c>
    </row>
  </sheetData>
  <mergeCells count="41">
    <mergeCell ref="C142:F142"/>
    <mergeCell ref="B113:D113"/>
    <mergeCell ref="H113:O113"/>
    <mergeCell ref="B129:L129"/>
    <mergeCell ref="B132:I132"/>
    <mergeCell ref="F135:G135"/>
    <mergeCell ref="B137:D137"/>
    <mergeCell ref="G108:J108"/>
    <mergeCell ref="H54:J54"/>
    <mergeCell ref="B55:D55"/>
    <mergeCell ref="B61:L61"/>
    <mergeCell ref="B64:I64"/>
    <mergeCell ref="H65:K65"/>
    <mergeCell ref="B71:D71"/>
    <mergeCell ref="G93:J93"/>
    <mergeCell ref="G95:H95"/>
    <mergeCell ref="G96:K96"/>
    <mergeCell ref="B98:D98"/>
    <mergeCell ref="G99:J99"/>
    <mergeCell ref="F50:G50"/>
    <mergeCell ref="B14:F14"/>
    <mergeCell ref="E18:I18"/>
    <mergeCell ref="B23:D23"/>
    <mergeCell ref="B35:B36"/>
    <mergeCell ref="C35:C36"/>
    <mergeCell ref="D35:D36"/>
    <mergeCell ref="E35:F35"/>
    <mergeCell ref="G35:G36"/>
    <mergeCell ref="H35:H36"/>
    <mergeCell ref="B37:H37"/>
    <mergeCell ref="B40:F40"/>
    <mergeCell ref="B41:H41"/>
    <mergeCell ref="B44:F44"/>
    <mergeCell ref="F48:M48"/>
    <mergeCell ref="B3:N5"/>
    <mergeCell ref="B10:B11"/>
    <mergeCell ref="C10:C11"/>
    <mergeCell ref="D10:D11"/>
    <mergeCell ref="E10:F10"/>
    <mergeCell ref="G10:G11"/>
    <mergeCell ref="H10:H11"/>
  </mergeCells>
  <pageMargins left="0.7" right="0.7" top="0.75" bottom="0.75" header="0.3" footer="0.3"/>
  <pageSetup paperSize="9" scale="16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K28"/>
  <sheetViews>
    <sheetView view="pageBreakPreview" topLeftCell="A4" zoomScale="60" zoomScaleNormal="10" workbookViewId="0">
      <selection activeCell="C21" sqref="C21:D21"/>
    </sheetView>
  </sheetViews>
  <sheetFormatPr defaultRowHeight="20.149999999999999" customHeight="1" x14ac:dyDescent="0.35"/>
  <cols>
    <col min="3" max="3" width="91" customWidth="1"/>
    <col min="4" max="4" width="18.7265625" bestFit="1" customWidth="1"/>
    <col min="8" max="8" width="18.54296875" customWidth="1"/>
    <col min="9" max="9" width="15.54296875" customWidth="1"/>
    <col min="10" max="10" width="12.54296875" bestFit="1" customWidth="1"/>
  </cols>
  <sheetData>
    <row r="3" spans="2:11" ht="20.149999999999999" customHeight="1" x14ac:dyDescent="0.35">
      <c r="B3" s="136" t="s">
        <v>138</v>
      </c>
      <c r="C3" s="136"/>
      <c r="D3" s="136"/>
      <c r="E3" s="136"/>
      <c r="F3" s="136"/>
      <c r="G3" s="136"/>
      <c r="H3" s="136"/>
      <c r="I3" s="136"/>
      <c r="J3" s="72"/>
      <c r="K3" s="72"/>
    </row>
    <row r="4" spans="2:11" ht="20.149999999999999" customHeight="1" x14ac:dyDescent="0.35">
      <c r="B4" s="33"/>
      <c r="C4" s="33"/>
      <c r="D4" s="73"/>
      <c r="E4" s="73"/>
      <c r="F4" s="73"/>
      <c r="G4" s="33"/>
      <c r="H4" s="137" t="s">
        <v>125</v>
      </c>
      <c r="I4" s="137"/>
      <c r="J4" s="137"/>
      <c r="K4" s="137"/>
    </row>
    <row r="5" spans="2:11" ht="20.149999999999999" customHeight="1" x14ac:dyDescent="0.35">
      <c r="B5" s="33"/>
      <c r="C5" s="33"/>
      <c r="D5" s="33"/>
      <c r="E5" s="33"/>
      <c r="F5" s="33"/>
      <c r="G5" s="5"/>
      <c r="H5" s="5"/>
      <c r="I5" s="5"/>
      <c r="J5" s="5"/>
      <c r="K5" s="33"/>
    </row>
    <row r="6" spans="2:11" ht="20.149999999999999" customHeight="1" x14ac:dyDescent="0.35">
      <c r="B6" s="33"/>
      <c r="C6" s="33"/>
      <c r="D6" s="33"/>
      <c r="E6" s="33"/>
      <c r="F6" s="33"/>
      <c r="G6" s="5"/>
      <c r="H6" s="94" t="s">
        <v>129</v>
      </c>
      <c r="I6" s="94" t="s">
        <v>126</v>
      </c>
      <c r="J6" s="94" t="s">
        <v>127</v>
      </c>
      <c r="K6" s="94" t="s">
        <v>128</v>
      </c>
    </row>
    <row r="7" spans="2:11" ht="20.149999999999999" customHeight="1" x14ac:dyDescent="0.35">
      <c r="B7" s="5"/>
      <c r="C7" s="33"/>
      <c r="D7" s="33"/>
      <c r="E7" s="33"/>
      <c r="F7" s="33"/>
      <c r="G7" s="5"/>
      <c r="H7" s="1">
        <v>1</v>
      </c>
      <c r="I7" s="50">
        <v>2.4</v>
      </c>
      <c r="J7" s="50">
        <v>3.6</v>
      </c>
      <c r="K7" s="50">
        <v>3.9</v>
      </c>
    </row>
    <row r="8" spans="2:11" ht="20.149999999999999" customHeight="1" x14ac:dyDescent="0.35">
      <c r="B8" s="51" t="s">
        <v>5</v>
      </c>
      <c r="C8" s="51" t="s">
        <v>32</v>
      </c>
      <c r="D8" s="51" t="s">
        <v>86</v>
      </c>
      <c r="E8" s="33"/>
      <c r="F8" s="33"/>
      <c r="G8" s="5"/>
      <c r="H8" s="1">
        <v>2</v>
      </c>
      <c r="I8" s="50">
        <v>4.8</v>
      </c>
      <c r="J8" s="50">
        <v>7.3</v>
      </c>
      <c r="K8" s="50">
        <v>7.8</v>
      </c>
    </row>
    <row r="9" spans="2:11" ht="20.149999999999999" customHeight="1" x14ac:dyDescent="0.35">
      <c r="B9" s="1">
        <v>1</v>
      </c>
      <c r="C9" s="2" t="s">
        <v>134</v>
      </c>
      <c r="D9" s="65">
        <v>1</v>
      </c>
      <c r="E9" s="33"/>
      <c r="F9" s="33"/>
      <c r="G9" s="33"/>
      <c r="H9" s="1">
        <v>3</v>
      </c>
      <c r="I9" s="50">
        <v>7.2</v>
      </c>
      <c r="J9" s="50">
        <v>11</v>
      </c>
      <c r="K9" s="50">
        <v>11.7</v>
      </c>
    </row>
    <row r="10" spans="2:11" ht="20.149999999999999" customHeight="1" x14ac:dyDescent="0.35">
      <c r="B10" s="124" t="s">
        <v>87</v>
      </c>
      <c r="C10" s="125"/>
      <c r="D10" s="126"/>
      <c r="E10" s="33"/>
      <c r="F10" s="33"/>
      <c r="G10" s="33"/>
      <c r="H10" s="1">
        <v>5</v>
      </c>
      <c r="I10" s="50">
        <v>12.2</v>
      </c>
      <c r="J10" s="50">
        <v>18.399999999999999</v>
      </c>
      <c r="K10" s="50">
        <v>19.600000000000001</v>
      </c>
    </row>
    <row r="11" spans="2:11" ht="20.149999999999999" customHeight="1" x14ac:dyDescent="0.35">
      <c r="B11" s="1">
        <v>1</v>
      </c>
      <c r="C11" s="31" t="s">
        <v>162</v>
      </c>
      <c r="D11" s="74">
        <f>IFERROR(VLOOKUP(D9,H7:I28,2,TRUE),"belum terkonversi")</f>
        <v>2.4</v>
      </c>
      <c r="E11" s="33"/>
      <c r="F11" s="33"/>
      <c r="G11" s="33"/>
      <c r="H11" s="1">
        <v>6</v>
      </c>
      <c r="I11" s="50">
        <v>14.7</v>
      </c>
      <c r="J11" s="50">
        <v>22.1</v>
      </c>
      <c r="K11" s="50">
        <v>23.5</v>
      </c>
    </row>
    <row r="12" spans="2:11" ht="20.149999999999999" customHeight="1" x14ac:dyDescent="0.35">
      <c r="B12" s="1">
        <v>2</v>
      </c>
      <c r="C12" s="31" t="s">
        <v>161</v>
      </c>
      <c r="D12" s="1">
        <f>IFERROR(VLOOKUP(D9,H7:J28,3,TRUE),"belum terkonversi")</f>
        <v>3.6</v>
      </c>
      <c r="E12" s="33"/>
      <c r="F12" s="33"/>
      <c r="G12" s="33"/>
      <c r="H12" s="1">
        <v>7</v>
      </c>
      <c r="I12" s="50">
        <v>17.2</v>
      </c>
      <c r="J12" s="50">
        <v>25.8</v>
      </c>
      <c r="K12" s="50">
        <v>25.5</v>
      </c>
    </row>
    <row r="13" spans="2:11" ht="20.149999999999999" customHeight="1" x14ac:dyDescent="0.35">
      <c r="B13" s="1">
        <v>3</v>
      </c>
      <c r="C13" s="31" t="s">
        <v>163</v>
      </c>
      <c r="D13" s="1">
        <f>IFERROR(VLOOKUP(D9,H7:K28,4,TRUE),"belum terkonversi")</f>
        <v>3.9</v>
      </c>
      <c r="E13" s="33"/>
      <c r="F13" s="33"/>
      <c r="G13" s="33"/>
      <c r="H13" s="1">
        <v>8</v>
      </c>
      <c r="I13" s="50">
        <v>19.8</v>
      </c>
      <c r="J13" s="50">
        <v>29.5</v>
      </c>
      <c r="K13" s="50">
        <v>31.5</v>
      </c>
    </row>
    <row r="14" spans="2:11" ht="20.149999999999999" customHeight="1" x14ac:dyDescent="0.35">
      <c r="B14" s="5"/>
      <c r="C14" s="5"/>
      <c r="D14" s="5"/>
      <c r="E14" s="33"/>
      <c r="F14" s="33"/>
      <c r="G14" s="33"/>
      <c r="H14" s="1">
        <v>9</v>
      </c>
      <c r="I14" s="50">
        <v>22.4</v>
      </c>
      <c r="J14" s="50">
        <v>33.200000000000003</v>
      </c>
      <c r="K14" s="50">
        <v>35.5</v>
      </c>
    </row>
    <row r="15" spans="2:11" ht="20.149999999999999" customHeight="1" x14ac:dyDescent="0.35">
      <c r="B15" s="5"/>
      <c r="C15" s="5"/>
      <c r="D15" s="5"/>
      <c r="E15" s="33"/>
      <c r="F15" s="33"/>
      <c r="G15" s="33"/>
      <c r="H15" s="1">
        <v>10</v>
      </c>
      <c r="I15" s="50">
        <v>25</v>
      </c>
      <c r="J15" s="50">
        <v>37</v>
      </c>
      <c r="K15" s="50">
        <v>39.5</v>
      </c>
    </row>
    <row r="16" spans="2:11" ht="20.149999999999999" customHeight="1" x14ac:dyDescent="0.35">
      <c r="B16" s="5"/>
      <c r="C16" s="5"/>
      <c r="D16" s="5"/>
      <c r="E16" s="33"/>
      <c r="F16" s="33"/>
      <c r="G16" s="33"/>
      <c r="H16" s="1">
        <v>11</v>
      </c>
      <c r="I16" s="50">
        <v>27.6</v>
      </c>
      <c r="J16" s="50">
        <v>40.799999999999997</v>
      </c>
      <c r="K16" s="50">
        <v>43.5</v>
      </c>
    </row>
    <row r="17" spans="2:11" ht="20.149999999999999" customHeight="1" x14ac:dyDescent="0.35">
      <c r="B17" s="5"/>
      <c r="C17" s="5"/>
      <c r="D17" s="5"/>
      <c r="E17" s="33"/>
      <c r="F17" s="33"/>
      <c r="G17" s="5"/>
      <c r="H17" s="1">
        <v>12</v>
      </c>
      <c r="I17" s="50">
        <v>30.3</v>
      </c>
      <c r="J17" s="50">
        <v>44.6</v>
      </c>
      <c r="K17" s="50">
        <v>47.5</v>
      </c>
    </row>
    <row r="18" spans="2:11" ht="20.149999999999999" customHeight="1" x14ac:dyDescent="0.35">
      <c r="B18" s="5"/>
      <c r="C18" s="5"/>
      <c r="D18" s="5"/>
      <c r="E18" s="33"/>
      <c r="F18" s="33"/>
      <c r="G18" s="5"/>
      <c r="H18" s="1">
        <v>13</v>
      </c>
      <c r="I18" s="50">
        <v>33</v>
      </c>
      <c r="J18" s="50">
        <v>48.6</v>
      </c>
      <c r="K18" s="50">
        <v>51.6</v>
      </c>
    </row>
    <row r="19" spans="2:11" ht="20.149999999999999" customHeight="1" x14ac:dyDescent="0.35">
      <c r="B19" s="5"/>
      <c r="C19" s="5"/>
      <c r="D19" s="5"/>
      <c r="E19" s="33"/>
      <c r="F19" s="33"/>
      <c r="G19" s="5"/>
      <c r="H19" s="1">
        <v>14</v>
      </c>
      <c r="I19" s="50">
        <v>35.700000000000003</v>
      </c>
      <c r="J19" s="50">
        <v>52.2</v>
      </c>
      <c r="K19" s="50">
        <v>55.7</v>
      </c>
    </row>
    <row r="20" spans="2:11" ht="20.149999999999999" customHeight="1" x14ac:dyDescent="0.35">
      <c r="B20" s="5" t="s">
        <v>4</v>
      </c>
      <c r="C20" s="5"/>
      <c r="D20" s="5"/>
      <c r="E20" s="33"/>
      <c r="F20" s="33"/>
      <c r="G20" s="5"/>
      <c r="H20" s="1">
        <v>15</v>
      </c>
      <c r="I20" s="50">
        <v>38.5</v>
      </c>
      <c r="J20" s="50">
        <v>56</v>
      </c>
      <c r="K20" s="50">
        <v>59.8</v>
      </c>
    </row>
    <row r="21" spans="2:11" ht="20.149999999999999" customHeight="1" x14ac:dyDescent="0.35">
      <c r="B21" s="5"/>
      <c r="C21" s="5"/>
      <c r="D21" s="5"/>
      <c r="E21" s="33"/>
      <c r="F21" s="33"/>
      <c r="G21" s="5"/>
      <c r="H21" s="1">
        <v>16</v>
      </c>
      <c r="I21" s="50">
        <v>41.3</v>
      </c>
      <c r="J21" s="50">
        <v>59.9</v>
      </c>
      <c r="K21" s="50">
        <v>63.9</v>
      </c>
    </row>
    <row r="22" spans="2:11" ht="20.149999999999999" customHeight="1" x14ac:dyDescent="0.35">
      <c r="B22" s="5"/>
      <c r="C22" s="5"/>
      <c r="D22" s="5"/>
      <c r="E22" s="33"/>
      <c r="F22" s="33"/>
      <c r="G22" s="5"/>
      <c r="H22" s="1">
        <v>17</v>
      </c>
      <c r="I22" s="50">
        <v>44.2</v>
      </c>
      <c r="J22" s="50">
        <v>63.8</v>
      </c>
      <c r="K22" s="50">
        <v>68</v>
      </c>
    </row>
    <row r="23" spans="2:11" ht="20.149999999999999" customHeight="1" x14ac:dyDescent="0.35">
      <c r="B23" s="5"/>
      <c r="C23" s="33"/>
      <c r="D23" s="33"/>
      <c r="E23" s="33"/>
      <c r="F23" s="33"/>
      <c r="G23" s="5"/>
      <c r="H23" s="1">
        <v>18</v>
      </c>
      <c r="I23" s="50">
        <v>47.1</v>
      </c>
      <c r="J23" s="50">
        <v>67.7</v>
      </c>
      <c r="K23" s="50">
        <v>72.2</v>
      </c>
    </row>
    <row r="24" spans="2:11" ht="20.149999999999999" customHeight="1" x14ac:dyDescent="0.35">
      <c r="B24" s="5"/>
      <c r="C24" s="33"/>
      <c r="D24" s="33"/>
      <c r="E24" s="33"/>
      <c r="F24" s="33"/>
      <c r="G24" s="5"/>
      <c r="H24" s="1">
        <v>19</v>
      </c>
      <c r="I24" s="50">
        <v>50</v>
      </c>
      <c r="J24" s="50">
        <v>71.099999999999994</v>
      </c>
      <c r="K24" s="50">
        <v>76.5</v>
      </c>
    </row>
    <row r="25" spans="2:11" ht="20.149999999999999" customHeight="1" x14ac:dyDescent="0.35">
      <c r="B25" s="33"/>
      <c r="C25" s="33"/>
      <c r="D25" s="33"/>
      <c r="E25" s="33"/>
      <c r="F25" s="33"/>
      <c r="G25" s="5"/>
      <c r="H25" s="1">
        <v>20</v>
      </c>
      <c r="I25" s="50">
        <v>53</v>
      </c>
      <c r="J25" s="50">
        <v>75.099999999999994</v>
      </c>
      <c r="K25" s="50">
        <v>80.900000000000006</v>
      </c>
    </row>
    <row r="26" spans="2:11" ht="20.149999999999999" customHeight="1" x14ac:dyDescent="0.35">
      <c r="B26" s="33"/>
      <c r="C26" s="33"/>
      <c r="D26" s="33"/>
      <c r="E26" s="33"/>
      <c r="F26" s="33"/>
      <c r="G26" s="5"/>
      <c r="H26" s="1">
        <v>21</v>
      </c>
      <c r="I26" s="50">
        <v>56</v>
      </c>
      <c r="J26" s="50">
        <v>79.8</v>
      </c>
      <c r="K26" s="50">
        <v>85.4</v>
      </c>
    </row>
    <row r="27" spans="2:11" ht="20.149999999999999" customHeight="1" x14ac:dyDescent="0.35">
      <c r="B27" s="33"/>
      <c r="C27" s="33"/>
      <c r="D27" s="33"/>
      <c r="E27" s="33"/>
      <c r="F27" s="33"/>
      <c r="G27" s="5"/>
      <c r="H27" s="1">
        <v>22</v>
      </c>
      <c r="I27" s="50">
        <v>59.1</v>
      </c>
      <c r="J27" s="50">
        <v>83.9</v>
      </c>
      <c r="K27" s="50">
        <v>90</v>
      </c>
    </row>
    <row r="28" spans="2:11" ht="20.149999999999999" customHeight="1" x14ac:dyDescent="0.35">
      <c r="B28" s="33"/>
      <c r="C28" s="33"/>
      <c r="D28" s="33"/>
      <c r="E28" s="33"/>
      <c r="F28" s="33"/>
      <c r="G28" s="5"/>
      <c r="H28" s="1">
        <v>23</v>
      </c>
      <c r="I28" s="50">
        <v>62.2</v>
      </c>
      <c r="J28" s="50">
        <v>88</v>
      </c>
      <c r="K28" s="50">
        <v>94.6</v>
      </c>
    </row>
  </sheetData>
  <mergeCells count="3">
    <mergeCell ref="B3:I3"/>
    <mergeCell ref="H4:K4"/>
    <mergeCell ref="B10:D10"/>
  </mergeCells>
  <pageMargins left="0.7" right="0.7" top="0.75" bottom="0.75" header="0.3" footer="0.3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M12"/>
  <sheetViews>
    <sheetView tabSelected="1" zoomScale="40" zoomScaleNormal="40" workbookViewId="0">
      <selection activeCell="Q20" sqref="Q20"/>
    </sheetView>
  </sheetViews>
  <sheetFormatPr defaultColWidth="9.1796875" defaultRowHeight="20.149999999999999" customHeight="1" x14ac:dyDescent="0.3"/>
  <cols>
    <col min="1" max="1" width="9.1796875" style="33"/>
    <col min="2" max="2" width="4.54296875" style="33" customWidth="1"/>
    <col min="3" max="3" width="11.453125" style="33" customWidth="1"/>
    <col min="4" max="4" width="17" style="33" customWidth="1"/>
    <col min="5" max="5" width="26.26953125" style="33" customWidth="1"/>
    <col min="6" max="6" width="14.81640625" style="33" customWidth="1"/>
    <col min="7" max="7" width="26.453125" style="33" customWidth="1"/>
    <col min="8" max="8" width="36.7265625" style="33" customWidth="1"/>
    <col min="9" max="9" width="21.7265625" style="33" customWidth="1"/>
    <col min="10" max="16384" width="9.1796875" style="33"/>
  </cols>
  <sheetData>
    <row r="2" spans="3:13" ht="20.149999999999999" customHeight="1" thickBot="1" x14ac:dyDescent="0.35"/>
    <row r="3" spans="3:13" ht="20.149999999999999" customHeight="1" x14ac:dyDescent="0.3">
      <c r="C3" s="95" t="s">
        <v>79</v>
      </c>
      <c r="D3" s="96"/>
      <c r="E3" s="96"/>
      <c r="F3" s="96"/>
      <c r="G3" s="96"/>
      <c r="H3" s="96"/>
      <c r="I3" s="97"/>
      <c r="J3" s="32"/>
      <c r="K3" s="32"/>
    </row>
    <row r="4" spans="3:13" ht="20.149999999999999" customHeight="1" x14ac:dyDescent="0.3">
      <c r="C4" s="98"/>
      <c r="D4" s="99"/>
      <c r="E4" s="99"/>
      <c r="F4" s="99"/>
      <c r="G4" s="99"/>
      <c r="H4" s="99"/>
      <c r="I4" s="100"/>
      <c r="J4" s="32"/>
      <c r="K4" s="32"/>
    </row>
    <row r="5" spans="3:13" ht="20.149999999999999" customHeight="1" thickBot="1" x14ac:dyDescent="0.35">
      <c r="C5" s="101"/>
      <c r="D5" s="102"/>
      <c r="E5" s="102"/>
      <c r="F5" s="102"/>
      <c r="G5" s="102"/>
      <c r="H5" s="102"/>
      <c r="I5" s="103"/>
      <c r="J5" s="32"/>
      <c r="K5" s="32"/>
    </row>
    <row r="6" spans="3:13" ht="20.149999999999999" customHeight="1" x14ac:dyDescent="0.3">
      <c r="K6" s="33" t="s">
        <v>157</v>
      </c>
    </row>
    <row r="8" spans="3:13" ht="20.149999999999999" customHeight="1" x14ac:dyDescent="0.35">
      <c r="C8" s="34" t="s">
        <v>5</v>
      </c>
      <c r="D8" s="24" t="s">
        <v>164</v>
      </c>
      <c r="E8" s="24" t="s">
        <v>83</v>
      </c>
      <c r="F8" s="24" t="s">
        <v>78</v>
      </c>
      <c r="G8" s="24" t="s">
        <v>80</v>
      </c>
      <c r="H8" s="24" t="s">
        <v>81</v>
      </c>
      <c r="I8" s="35" t="s">
        <v>82</v>
      </c>
      <c r="J8" s="5"/>
      <c r="K8" s="5"/>
      <c r="L8" s="5"/>
      <c r="M8" s="5"/>
    </row>
    <row r="9" spans="3:13" ht="20.149999999999999" customHeight="1" x14ac:dyDescent="0.3">
      <c r="C9" s="39"/>
      <c r="D9" s="40"/>
      <c r="E9" s="40"/>
      <c r="F9" s="40"/>
      <c r="G9" s="40"/>
      <c r="H9" s="40"/>
      <c r="I9" s="41"/>
    </row>
    <row r="10" spans="3:13" ht="20.149999999999999" customHeight="1" x14ac:dyDescent="0.3">
      <c r="C10" s="39"/>
      <c r="D10" s="40"/>
      <c r="E10" s="40"/>
      <c r="F10" s="40"/>
      <c r="G10" s="40"/>
      <c r="H10" s="40"/>
      <c r="I10" s="41"/>
    </row>
    <row r="11" spans="3:13" ht="20.149999999999999" customHeight="1" x14ac:dyDescent="0.3">
      <c r="C11" s="36"/>
      <c r="D11" s="37"/>
      <c r="E11" s="37"/>
      <c r="F11" s="37"/>
      <c r="G11" s="37"/>
      <c r="H11" s="37"/>
      <c r="I11" s="38"/>
    </row>
    <row r="12" spans="3:13" ht="20.149999999999999" customHeight="1" x14ac:dyDescent="0.3">
      <c r="H12" s="33" t="s">
        <v>4</v>
      </c>
    </row>
  </sheetData>
  <mergeCells count="1">
    <mergeCell ref="C3:I5"/>
  </mergeCells>
  <pageMargins left="0.7" right="0.7" top="0.75" bottom="0.75" header="0.3" footer="0.3"/>
  <pageSetup paperSize="9" scale="41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Format Kadar Air</vt:lpstr>
      <vt:lpstr>Format Kadar Abu</vt:lpstr>
      <vt:lpstr>Format Kadar Protein</vt:lpstr>
      <vt:lpstr>Format %Protein_standarless</vt:lpstr>
      <vt:lpstr>karbo</vt:lpstr>
      <vt:lpstr>karbo (2)</vt:lpstr>
      <vt:lpstr>Konversi Tabel Luff Schoorl</vt:lpstr>
      <vt:lpstr>Rekap Kegiatan</vt:lpstr>
      <vt:lpstr>'Format %Protein_standarless'!Print_Area</vt:lpstr>
      <vt:lpstr>'Format Kadar Abu'!Print_Area</vt:lpstr>
      <vt:lpstr>'Format Kadar Air'!Print_Area</vt:lpstr>
      <vt:lpstr>'Format Kadar Protein'!Print_Area</vt:lpstr>
      <vt:lpstr>karbo!Print_Area</vt:lpstr>
      <vt:lpstr>'Konversi Tabel Luff Schoorl'!Print_Area</vt:lpstr>
      <vt:lpstr>'Rekap Kegiatan'!Print_Area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This;@Dimas Panduresi</dc:creator>
  <cp:lastModifiedBy>Dimas Panduresi</cp:lastModifiedBy>
  <dcterms:created xsi:type="dcterms:W3CDTF">2021-10-25T06:42:22Z</dcterms:created>
  <dcterms:modified xsi:type="dcterms:W3CDTF">2026-10-08T10:25:47Z</dcterms:modified>
</cp:coreProperties>
</file>